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hp\OneDrive\Pictures\RAVIN_MA\RAVIN_PIC\OneDrive\Desktop\Jaf\"/>
    </mc:Choice>
  </mc:AlternateContent>
  <xr:revisionPtr revIDLastSave="0" documentId="13_ncr:2001_{D73D5B7B-048B-4F40-A8E0-32C16D4709F1}" xr6:coauthVersionLast="47" xr6:coauthVersionMax="47" xr10:uidLastSave="{00000000-0000-0000-0000-000000000000}"/>
  <bookViews>
    <workbookView xWindow="-135" yWindow="-135" windowWidth="29070" windowHeight="15750" xr2:uid="{81DEFC87-7486-4340-B146-CF4F7CA491DD}"/>
  </bookViews>
  <sheets>
    <sheet name="Pivot Report" sheetId="1" r:id="rId1"/>
    <sheet name="Dashboard" sheetId="2" r:id="rId2"/>
    <sheet name="Avgerage wait time daily trend" sheetId="4" r:id="rId3"/>
    <sheet name="Daily ER No. of Patients" sheetId="3" r:id="rId4"/>
    <sheet name="Satifaction score daily trends" sheetId="5" r:id="rId5"/>
  </sheets>
  <definedNames>
    <definedName name="Slicer_Date__Month">#N/A</definedName>
    <definedName name="Slicer_Date__Year">#N/A</definedName>
  </definedNames>
  <calcPr calcId="191029"/>
  <pivotCaches>
    <pivotCache cacheId="1267" r:id="rId6"/>
    <pivotCache cacheId="1270" r:id="rId7"/>
    <pivotCache cacheId="1273" r:id="rId8"/>
    <pivotCache cacheId="1276" r:id="rId9"/>
    <pivotCache cacheId="1279" r:id="rId10"/>
    <pivotCache cacheId="1282" r:id="rId11"/>
    <pivotCache cacheId="1285" r:id="rId12"/>
    <pivotCache cacheId="1288" r:id="rId13"/>
    <pivotCache cacheId="1291" r:id="rId14"/>
    <pivotCache cacheId="1294" r:id="rId15"/>
    <pivotCache cacheId="1297" r:id="rId16"/>
    <pivotCache cacheId="1300" r:id="rId17"/>
  </pivotCaches>
  <fileRecoveryPr repairLoad="1"/>
  <extLst>
    <ext xmlns:x14="http://schemas.microsoft.com/office/spreadsheetml/2009/9/main" uri="{876F7934-8845-4945-9796-88D515C7AA90}">
      <x14:pivotCaches>
        <pivotCache cacheId="699"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8754bdc-db9f-4ca7-baec-c39a421feb76" name="Hospital Emergency Room Data" connection="Query - Hospital Emergency Room Data"/>
          <x15:modelTable id="Calendar_Table_e30c8f82-a98a-45be-b561-926dd89c3ea1"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1" i="1" l="1"/>
  <c r="C51" i="1"/>
  <c r="B52" i="1"/>
  <c r="C52" i="1"/>
  <c r="A51" i="1"/>
  <c r="A5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5F5787-EF6A-4CDB-9519-AE8EBAF3EDE7}" name="Query - Calendar_Table" description="Connection to the 'Calendar_Table' query in the workbook." type="100" refreshedVersion="8" minRefreshableVersion="5">
    <extLst>
      <ext xmlns:x15="http://schemas.microsoft.com/office/spreadsheetml/2010/11/main" uri="{DE250136-89BD-433C-8126-D09CA5730AF9}">
        <x15:connection id="6d35f1b9-67d8-4ce5-9bfb-a90d0a857c95"/>
      </ext>
    </extLst>
  </connection>
  <connection id="2" xr16:uid="{9B868057-5ABD-4134-AD3F-C1FB1EC06B9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a2ed81f-7e1b-429e-8009-405aa561c6f5"/>
      </ext>
    </extLst>
  </connection>
  <connection id="3" xr16:uid="{A8E9C41C-8BA4-4914-BA8E-E829BCDAAA4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<sst xmlns="http://schemas.openxmlformats.org/spreadsheetml/2006/main" count="152" uniqueCount="76">
  <si>
    <t>Distinct Count of Patient Id</t>
  </si>
  <si>
    <t>No. of patient</t>
  </si>
  <si>
    <t>Average of Patient Waittime</t>
  </si>
  <si>
    <t>Average of Patient Satisfaction Score</t>
  </si>
  <si>
    <t>Row Labels</t>
  </si>
  <si>
    <t>Grand Total</t>
  </si>
  <si>
    <t>Daily trends of no of patients</t>
  </si>
  <si>
    <t>Average wait time</t>
  </si>
  <si>
    <t>Use an area chart to track daily changes and highlight days with longer wait times that might need improvments</t>
  </si>
  <si>
    <t>Use an area chart to show trends, spot drops in satisfaction, and link them to busy times or challenges.</t>
  </si>
  <si>
    <t>Satisfaction score daily trends</t>
  </si>
  <si>
    <t>Count of Patient attend Status</t>
  </si>
  <si>
    <t>Count of Patient Admission Flag</t>
  </si>
  <si>
    <t>Admitted</t>
  </si>
  <si>
    <t>Not Admitted</t>
  </si>
  <si>
    <t>Count of Patient Admission Flag2</t>
  </si>
  <si>
    <t>Admission Status</t>
  </si>
  <si>
    <t>No.of Patient</t>
  </si>
  <si>
    <t>% Status</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</si>
  <si>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</si>
  <si>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</si>
  <si>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</si>
  <si>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</si>
  <si>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</si>
  <si>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</si>
  <si>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</si>
  <si>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</si>
  <si>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</si>
  <si>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</si>
  <si>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</si>
  <si>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</si>
  <si>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</si>
  <si>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</si>
  <si>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</si>
  <si>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</si>
  <si>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</si>
  <si>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</si>
  <si>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</si>
  <si>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</si>
  <si>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</si>
  <si>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</si>
  <si>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</si>
  <si>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</si>
  <si>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</si>
  <si>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</si>
  <si>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</si>
  <si>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</si>
  <si>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</si>
  <si>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0-09</t>
  </si>
  <si>
    <t>10-19</t>
  </si>
  <si>
    <t>20-29</t>
  </si>
  <si>
    <t>30-39</t>
  </si>
  <si>
    <t>40-49</t>
  </si>
  <si>
    <t>50-59</t>
  </si>
  <si>
    <t>60-69</t>
  </si>
  <si>
    <t>70-79</t>
  </si>
  <si>
    <t>Count of Age Group</t>
  </si>
  <si>
    <t>age group  wise analysis</t>
  </si>
  <si>
    <t>Ontime</t>
  </si>
  <si>
    <t>Delay</t>
  </si>
  <si>
    <t>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</si>
  <si>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</si>
  <si>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</si>
  <si>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</si>
  <si>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</si>
  <si>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</si>
  <si>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</si>
  <si>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</si>
  <si>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</si>
  <si>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</si>
  <si>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</si>
  <si>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</si>
  <si>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</si>
  <si>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</si>
  <si>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No. of Patient by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</si>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</sst>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sz val="11"/>
      <name val="Calibri"/>
      <family val="2"/>
      <scheme val="minor"/>
    </font>
    <font>
      <sz val="10"/>
      <color rgb="FF000000"/>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4" tint="0.39997558519241921"/>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0" xfId="0" applyNumberFormat="1"/>
    <xf numFmtId="1" fontId="0" fillId="0" borderId="0" xfId="0" applyNumberFormat="1"/>
    <xf numFmtId="10" fontId="0" fillId="0" borderId="0" xfId="0" applyNumberFormat="1"/>
    <xf numFmtId="0" fontId="2" fillId="3" borderId="0" xfId="0" applyFont="1" applyFill="1" applyAlignment="1">
      <alignment horizontal="center" vertical="center"/>
    </xf>
    <xf numFmtId="0" fontId="2" fillId="4" borderId="0" xfId="0" applyFont="1" applyFill="1" applyAlignment="1">
      <alignment horizontal="center" vertical="center"/>
    </xf>
    <xf numFmtId="9" fontId="2" fillId="4" borderId="0" xfId="1" applyFont="1" applyFill="1" applyAlignment="1">
      <alignment horizontal="center" vertical="center"/>
    </xf>
    <xf numFmtId="0" fontId="3" fillId="0" borderId="0" xfId="0" applyFont="1" applyAlignment="1">
      <alignment horizontal="center" vertical="center"/>
    </xf>
  </cellXfs>
  <cellStyles count="2">
    <cellStyle name="Normal" xfId="0" builtinId="0"/>
    <cellStyle name="Percent" xfId="1" builtinId="5"/>
  </cellStyles>
  <dxfs count="82">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sz val="8"/>
        <color theme="1"/>
      </font>
      <fill>
        <patternFill patternType="solid">
          <bgColor theme="8" tint="0.79998168889431442"/>
        </patternFill>
      </fill>
      <border diagonalUp="0" diagonalDown="0">
        <left/>
        <right/>
        <top/>
        <bottom/>
        <vertical/>
        <horizontal/>
      </border>
    </dxf>
  </dxfs>
  <tableStyles count="1" defaultTableStyle="TableStyleMedium2" defaultPivotStyle="PivotStyleLight16">
    <tableStyle name="My Style" pivot="0" table="0" count="10" xr9:uid="{536F2538-4B5A-4B7D-B472-E8D94CEF9225}">
      <tableStyleElement type="wholeTable" dxfId="81"/>
      <tableStyleElement type="headerRow" dxfId="8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11"/>
  </c:pivotSource>
  <c:chart>
    <c:autoTitleDeleted val="0"/>
    <c:pivotFmts>
      <c:pivotFmt>
        <c:idx val="0"/>
        <c:spPr>
          <a:solidFill>
            <a:schemeClr val="accent1"/>
          </a:solidFill>
          <a:ln>
            <a:noFill/>
          </a:ln>
          <a:effectLst>
            <a:outerShdw dir="5400000" algn="ctr" rotWithShape="0">
              <a:srgbClr val="000000"/>
            </a:outerShdw>
          </a:effectLst>
        </c:spPr>
        <c:marker>
          <c:symbol val="none"/>
        </c:marker>
        <c:dLbl>
          <c:idx val="0"/>
          <c:spPr>
            <a:noFill/>
            <a:ln>
              <a:noFill/>
            </a:ln>
            <a:effectLst/>
          </c:spPr>
          <c:txPr>
            <a:bodyPr rot="0" spcFirstLastPara="1" vertOverflow="ellipsis" vert="horz" wrap="square" lIns="0" tIns="36000" rIns="0" bIns="3600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dir="5400000" algn="ctr" rotWithShape="0">
              <a:srgbClr val="000000"/>
            </a:outerShdw>
          </a:effectLst>
        </c:spPr>
        <c:dLbl>
          <c:idx val="0"/>
          <c:tx>
            <c:rich>
              <a:bodyPr rot="0" spcFirstLastPara="1" vertOverflow="ellipsis" vert="horz" wrap="square" lIns="0" tIns="36000" rIns="0" bIns="36000" anchor="ctr" anchorCtr="1">
                <a:spAutoFit/>
              </a:bodyPr>
              <a:lstStyle/>
              <a:p>
                <a:pPr>
                  <a:defRPr sz="700" b="1" i="0" u="none" strike="noStrike" kern="1200" baseline="0">
                    <a:solidFill>
                      <a:schemeClr val="tx1">
                        <a:lumMod val="75000"/>
                        <a:lumOff val="25000"/>
                      </a:schemeClr>
                    </a:solidFill>
                    <a:latin typeface="+mn-lt"/>
                    <a:ea typeface="+mn-ea"/>
                    <a:cs typeface="+mn-cs"/>
                  </a:defRPr>
                </a:pPr>
                <a:fld id="{61443824-5BBA-4EF6-9B11-920CB7DA2EE7}" type="CELLRANGE">
                  <a:rPr lang="en-IN"/>
                  <a:pPr>
                    <a:defRPr sz="700" b="1"/>
                  </a:pPr>
                  <a:t>[CELLRANGE]</a:t>
                </a:fld>
                <a:endParaRPr lang="en-IN"/>
              </a:p>
            </c:rich>
          </c:tx>
          <c:spPr>
            <a:noFill/>
            <a:ln>
              <a:noFill/>
            </a:ln>
            <a:effectLst/>
          </c:spPr>
          <c:txPr>
            <a:bodyPr rot="0" spcFirstLastPara="1" vertOverflow="ellipsis" vert="horz" wrap="square" lIns="0" tIns="36000" rIns="0" bIns="3600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a:outerShdw dir="5400000" algn="ctr" rotWithShape="0">
              <a:srgbClr val="000000"/>
            </a:outerShdw>
          </a:effectLst>
        </c:spPr>
        <c:dLbl>
          <c:idx val="0"/>
          <c:tx>
            <c:rich>
              <a:bodyPr rot="0" spcFirstLastPara="1" vertOverflow="ellipsis" vert="horz" wrap="square" lIns="0" tIns="36000" rIns="0" bIns="36000" anchor="ctr" anchorCtr="1">
                <a:spAutoFit/>
              </a:bodyPr>
              <a:lstStyle/>
              <a:p>
                <a:pPr>
                  <a:defRPr sz="700" b="1" i="0" u="none" strike="noStrike" kern="1200" baseline="0">
                    <a:solidFill>
                      <a:schemeClr val="tx1">
                        <a:lumMod val="75000"/>
                        <a:lumOff val="25000"/>
                      </a:schemeClr>
                    </a:solidFill>
                    <a:latin typeface="+mn-lt"/>
                    <a:ea typeface="+mn-ea"/>
                    <a:cs typeface="+mn-cs"/>
                  </a:defRPr>
                </a:pPr>
                <a:fld id="{7E9F5A25-6EF5-4328-9E69-4FB3CB737BD6}" type="CELLRANGE">
                  <a:rPr lang="en-IN"/>
                  <a:pPr>
                    <a:defRPr sz="700" b="1"/>
                  </a:pPr>
                  <a:t>[CELLRANGE]</a:t>
                </a:fld>
                <a:endParaRPr lang="en-IN"/>
              </a:p>
            </c:rich>
          </c:tx>
          <c:spPr>
            <a:noFill/>
            <a:ln>
              <a:noFill/>
            </a:ln>
            <a:effectLst/>
          </c:spPr>
          <c:txPr>
            <a:bodyPr rot="0" spcFirstLastPara="1" vertOverflow="ellipsis" vert="horz" wrap="square" lIns="0" tIns="36000" rIns="0" bIns="3600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9.3568349827831149E-3"/>
          <c:y val="3.4888424848587604E-2"/>
          <c:w val="0.99064316501721683"/>
          <c:h val="0.95468800567122303"/>
        </c:manualLayout>
      </c:layout>
      <c:barChart>
        <c:barDir val="bar"/>
        <c:grouping val="clustered"/>
        <c:varyColors val="0"/>
        <c:ser>
          <c:idx val="0"/>
          <c:order val="0"/>
          <c:tx>
            <c:strRef>
              <c:f>'Pivot Report'!$C$42:$C$43</c:f>
              <c:strCache>
                <c:ptCount val="1"/>
                <c:pt idx="0">
                  <c:v>Count of Patient Admission Flag</c:v>
                </c:pt>
              </c:strCache>
            </c:strRef>
          </c:tx>
          <c:spPr>
            <a:solidFill>
              <a:schemeClr val="accent1"/>
            </a:solidFill>
            <a:ln>
              <a:noFill/>
            </a:ln>
            <a:effectLst>
              <a:outerShdw dir="5400000" algn="ctr" rotWithShape="0">
                <a:srgbClr val="000000"/>
              </a:outerShdw>
            </a:effectLst>
          </c:spPr>
          <c:invertIfNegative val="0"/>
          <c:dLbls>
            <c:dLbl>
              <c:idx val="0"/>
              <c:tx>
                <c:rich>
                  <a:bodyPr/>
                  <a:lstStyle/>
                  <a:p>
                    <a:fld id="{7E9F5A25-6EF5-4328-9E69-4FB3CB737BD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2FA-4FAC-B950-C6688D21107E}"/>
                </c:ext>
              </c:extLst>
            </c:dLbl>
            <c:dLbl>
              <c:idx val="1"/>
              <c:tx>
                <c:rich>
                  <a:bodyPr/>
                  <a:lstStyle/>
                  <a:p>
                    <a:fld id="{61443824-5BBA-4EF6-9B11-920CB7DA2EE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2FA-4FAC-B950-C6688D21107E}"/>
                </c:ext>
              </c:extLst>
            </c:dLbl>
            <c:spPr>
              <a:noFill/>
              <a:ln>
                <a:noFill/>
              </a:ln>
              <a:effectLst/>
            </c:spPr>
            <c:txPr>
              <a:bodyPr rot="0" spcFirstLastPara="1" vertOverflow="ellipsis" vert="horz" wrap="square" lIns="0" tIns="36000" rIns="0" bIns="3600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cat>
            <c:strRef>
              <c:f>'Pivot Report'!$C$42:$C$43</c:f>
              <c:strCache>
                <c:ptCount val="2"/>
                <c:pt idx="0">
                  <c:v>Admitted</c:v>
                </c:pt>
                <c:pt idx="1">
                  <c:v>Not Admitted</c:v>
                </c:pt>
              </c:strCache>
            </c:strRef>
          </c:cat>
          <c:val>
            <c:numRef>
              <c:f>'Pivot Report'!$C$42:$C$43</c:f>
              <c:numCache>
                <c:formatCode>0</c:formatCode>
                <c:ptCount val="2"/>
                <c:pt idx="0">
                  <c:v>224</c:v>
                </c:pt>
                <c:pt idx="1">
                  <c:v>207</c:v>
                </c:pt>
              </c:numCache>
            </c:numRef>
          </c:val>
          <c:extLst>
            <c:ext xmlns:c15="http://schemas.microsoft.com/office/drawing/2012/chart" uri="{02D57815-91ED-43cb-92C2-25804820EDAC}">
              <c15:datalabelsRange>
                <c15:f>'Pivot Report'!$C$42:$C$43</c15:f>
                <c15:dlblRangeCache>
                  <c:ptCount val="2"/>
                  <c:pt idx="0">
                    <c:v>51.97%</c:v>
                  </c:pt>
                  <c:pt idx="1">
                    <c:v>48.03%</c:v>
                  </c:pt>
                </c15:dlblRangeCache>
              </c15:datalabelsRange>
            </c:ext>
            <c:ext xmlns:c16="http://schemas.microsoft.com/office/drawing/2014/chart" uri="{C3380CC4-5D6E-409C-BE32-E72D297353CC}">
              <c16:uniqueId val="{00000000-E2FA-4FAC-B950-C6688D21107E}"/>
            </c:ext>
          </c:extLst>
        </c:ser>
        <c:ser>
          <c:idx val="1"/>
          <c:order val="1"/>
          <c:tx>
            <c:strRef>
              <c:f>'Pivot Report'!$C$42:$C$43</c:f>
              <c:strCache>
                <c:ptCount val="1"/>
                <c:pt idx="0">
                  <c:v>Count of Patient Admission Flag2</c:v>
                </c:pt>
              </c:strCache>
            </c:strRef>
          </c:tx>
          <c:spPr>
            <a:solidFill>
              <a:schemeClr val="accent2"/>
            </a:solidFill>
            <a:ln>
              <a:noFill/>
            </a:ln>
            <a:effectLst/>
          </c:spPr>
          <c:invertIfNegative val="0"/>
          <c:cat>
            <c:strRef>
              <c:f>'Pivot Report'!$C$42:$C$43</c:f>
              <c:strCache>
                <c:ptCount val="2"/>
                <c:pt idx="0">
                  <c:v>Admitted</c:v>
                </c:pt>
                <c:pt idx="1">
                  <c:v>Not Admitted</c:v>
                </c:pt>
              </c:strCache>
            </c:strRef>
          </c:cat>
          <c:val>
            <c:numRef>
              <c:f>'Pivot Report'!$C$42:$C$43</c:f>
              <c:numCache>
                <c:formatCode>0.00%</c:formatCode>
                <c:ptCount val="2"/>
                <c:pt idx="0">
                  <c:v>0.51972157772621808</c:v>
                </c:pt>
                <c:pt idx="1">
                  <c:v>0.48027842227378192</c:v>
                </c:pt>
              </c:numCache>
            </c:numRef>
          </c:val>
          <c:extLst>
            <c:ext xmlns:c16="http://schemas.microsoft.com/office/drawing/2014/chart" uri="{C3380CC4-5D6E-409C-BE32-E72D297353CC}">
              <c16:uniqueId val="{00000001-E2FA-4FAC-B950-C6688D21107E}"/>
            </c:ext>
          </c:extLst>
        </c:ser>
        <c:dLbls>
          <c:showLegendKey val="0"/>
          <c:showVal val="0"/>
          <c:showCatName val="0"/>
          <c:showSerName val="0"/>
          <c:showPercent val="0"/>
          <c:showBubbleSize val="0"/>
        </c:dLbls>
        <c:gapWidth val="0"/>
        <c:axId val="1025754367"/>
        <c:axId val="1025754847"/>
      </c:barChart>
      <c:catAx>
        <c:axId val="1025754367"/>
        <c:scaling>
          <c:orientation val="minMax"/>
        </c:scaling>
        <c:delete val="1"/>
        <c:axPos val="l"/>
        <c:numFmt formatCode="General" sourceLinked="1"/>
        <c:majorTickMark val="none"/>
        <c:minorTickMark val="none"/>
        <c:tickLblPos val="nextTo"/>
        <c:crossAx val="1025754847"/>
        <c:crosses val="autoZero"/>
        <c:auto val="1"/>
        <c:lblAlgn val="ctr"/>
        <c:lblOffset val="100"/>
        <c:noMultiLvlLbl val="0"/>
      </c:catAx>
      <c:valAx>
        <c:axId val="1025754847"/>
        <c:scaling>
          <c:orientation val="minMax"/>
        </c:scaling>
        <c:delete val="1"/>
        <c:axPos val="b"/>
        <c:numFmt formatCode="0" sourceLinked="1"/>
        <c:majorTickMark val="none"/>
        <c:minorTickMark val="none"/>
        <c:tickLblPos val="nextTo"/>
        <c:crossAx val="102575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573848852825791E-2"/>
          <c:y val="2.927906638970668E-2"/>
          <c:w val="0.94063922672076128"/>
          <c:h val="0.97072093361029321"/>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Report'!$E$5:$E$34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2-FC22-4AC6-B8C2-5BE28656C7DF}"/>
            </c:ext>
          </c:extLst>
        </c:ser>
        <c:dLbls>
          <c:showLegendKey val="0"/>
          <c:showVal val="0"/>
          <c:showCatName val="0"/>
          <c:showSerName val="0"/>
          <c:showPercent val="0"/>
          <c:showBubbleSize val="0"/>
        </c:dLbls>
        <c:axId val="1531559119"/>
        <c:axId val="1531549039"/>
      </c:areaChart>
      <c:catAx>
        <c:axId val="1531559119"/>
        <c:scaling>
          <c:orientation val="minMax"/>
        </c:scaling>
        <c:delete val="1"/>
        <c:axPos val="b"/>
        <c:numFmt formatCode="General" sourceLinked="1"/>
        <c:majorTickMark val="out"/>
        <c:minorTickMark val="none"/>
        <c:tickLblPos val="nextTo"/>
        <c:crossAx val="1531549039"/>
        <c:crosses val="autoZero"/>
        <c:auto val="1"/>
        <c:lblAlgn val="ctr"/>
        <c:lblOffset val="100"/>
        <c:noMultiLvlLbl val="0"/>
      </c:catAx>
      <c:valAx>
        <c:axId val="1531549039"/>
        <c:scaling>
          <c:orientation val="minMax"/>
        </c:scaling>
        <c:delete val="1"/>
        <c:axPos val="l"/>
        <c:numFmt formatCode="General" sourceLinked="1"/>
        <c:majorTickMark val="none"/>
        <c:minorTickMark val="none"/>
        <c:tickLblPos val="nextTo"/>
        <c:crossAx val="15315591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0"/>
          <c:w val="0.99722222222222223"/>
          <c:h val="1"/>
        </c:manualLayout>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Report'!$H$5:$H$34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3-C8E5-4912-9FCF-8C9042C6D3FC}"/>
            </c:ext>
          </c:extLst>
        </c:ser>
        <c:dLbls>
          <c:showLegendKey val="0"/>
          <c:showVal val="0"/>
          <c:showCatName val="0"/>
          <c:showSerName val="0"/>
          <c:showPercent val="0"/>
          <c:showBubbleSize val="0"/>
        </c:dLbls>
        <c:axId val="164577071"/>
        <c:axId val="164573231"/>
      </c:areaChart>
      <c:catAx>
        <c:axId val="164577071"/>
        <c:scaling>
          <c:orientation val="minMax"/>
        </c:scaling>
        <c:delete val="1"/>
        <c:axPos val="b"/>
        <c:numFmt formatCode="General" sourceLinked="1"/>
        <c:majorTickMark val="out"/>
        <c:minorTickMark val="none"/>
        <c:tickLblPos val="nextTo"/>
        <c:crossAx val="164573231"/>
        <c:crosses val="autoZero"/>
        <c:auto val="1"/>
        <c:lblAlgn val="ctr"/>
        <c:lblOffset val="100"/>
        <c:noMultiLvlLbl val="0"/>
      </c:catAx>
      <c:valAx>
        <c:axId val="164573231"/>
        <c:scaling>
          <c:orientation val="minMax"/>
        </c:scaling>
        <c:delete val="1"/>
        <c:axPos val="l"/>
        <c:numFmt formatCode="0.00" sourceLinked="1"/>
        <c:majorTickMark val="none"/>
        <c:minorTickMark val="none"/>
        <c:tickLblPos val="nextTo"/>
        <c:crossAx val="16457707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7614678554457635"/>
          <c:h val="0.97824268260299752"/>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Report'!$L$5:$L$33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3-F0DD-4156-A9F5-1998EB0F58AA}"/>
            </c:ext>
          </c:extLst>
        </c:ser>
        <c:dLbls>
          <c:showLegendKey val="0"/>
          <c:showVal val="0"/>
          <c:showCatName val="0"/>
          <c:showSerName val="0"/>
          <c:showPercent val="0"/>
          <c:showBubbleSize val="0"/>
        </c:dLbls>
        <c:axId val="839437615"/>
        <c:axId val="839439055"/>
      </c:areaChart>
      <c:catAx>
        <c:axId val="839437615"/>
        <c:scaling>
          <c:orientation val="minMax"/>
        </c:scaling>
        <c:delete val="1"/>
        <c:axPos val="b"/>
        <c:numFmt formatCode="General" sourceLinked="1"/>
        <c:majorTickMark val="out"/>
        <c:minorTickMark val="none"/>
        <c:tickLblPos val="nextTo"/>
        <c:crossAx val="839439055"/>
        <c:crosses val="autoZero"/>
        <c:auto val="1"/>
        <c:lblAlgn val="ctr"/>
        <c:lblOffset val="100"/>
        <c:noMultiLvlLbl val="0"/>
      </c:catAx>
      <c:valAx>
        <c:axId val="839439055"/>
        <c:scaling>
          <c:orientation val="minMax"/>
        </c:scaling>
        <c:delete val="1"/>
        <c:axPos val="l"/>
        <c:numFmt formatCode="0.00" sourceLinked="1"/>
        <c:majorTickMark val="none"/>
        <c:minorTickMark val="none"/>
        <c:tickLblPos val="nextTo"/>
        <c:crossAx val="8394376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5189014944189691"/>
          <c:w val="0.99680785819852602"/>
          <c:h val="0.68551352096703155"/>
        </c:manualLayout>
      </c:layout>
      <c:barChart>
        <c:barDir val="col"/>
        <c:grouping val="clustered"/>
        <c:varyColors val="0"/>
        <c:ser>
          <c:idx val="0"/>
          <c:order val="0"/>
          <c:tx>
            <c:strRef>
              <c:f>'Pivot Report'!$B$56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Report'!$A$57:$A$65</c:f>
              <c:strCache>
                <c:ptCount val="8"/>
                <c:pt idx="0">
                  <c:v>0-09</c:v>
                </c:pt>
                <c:pt idx="1">
                  <c:v>10-19</c:v>
                </c:pt>
                <c:pt idx="2">
                  <c:v>20-29</c:v>
                </c:pt>
                <c:pt idx="3">
                  <c:v>30-39</c:v>
                </c:pt>
                <c:pt idx="4">
                  <c:v>40-49</c:v>
                </c:pt>
                <c:pt idx="5">
                  <c:v>50-59</c:v>
                </c:pt>
                <c:pt idx="6">
                  <c:v>60-69</c:v>
                </c:pt>
                <c:pt idx="7">
                  <c:v>70-79</c:v>
                </c:pt>
              </c:strCache>
            </c:strRef>
          </c:cat>
          <c:val>
            <c:numRef>
              <c:f>'Pivot Report'!$B$57:$B$65</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3-77BD-4C12-8644-ADE7D110006C}"/>
            </c:ext>
          </c:extLst>
        </c:ser>
        <c:dLbls>
          <c:showLegendKey val="0"/>
          <c:showVal val="0"/>
          <c:showCatName val="0"/>
          <c:showSerName val="0"/>
          <c:showPercent val="0"/>
          <c:showBubbleSize val="0"/>
        </c:dLbls>
        <c:gapWidth val="219"/>
        <c:overlap val="-27"/>
        <c:axId val="797822159"/>
        <c:axId val="797822639"/>
      </c:barChart>
      <c:catAx>
        <c:axId val="79782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822639"/>
        <c:crosses val="autoZero"/>
        <c:auto val="1"/>
        <c:lblAlgn val="ctr"/>
        <c:lblOffset val="100"/>
        <c:noMultiLvlLbl val="0"/>
      </c:catAx>
      <c:valAx>
        <c:axId val="797822639"/>
        <c:scaling>
          <c:orientation val="minMax"/>
        </c:scaling>
        <c:delete val="1"/>
        <c:axPos val="l"/>
        <c:numFmt formatCode="0" sourceLinked="1"/>
        <c:majorTickMark val="none"/>
        <c:minorTickMark val="none"/>
        <c:tickLblPos val="nextTo"/>
        <c:crossAx val="79782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0.19792525541982806"/>
          <c:y val="0.13616810871707197"/>
          <c:w val="0.62717676171567693"/>
          <c:h val="0.73445740234583112"/>
        </c:manualLayout>
      </c:layout>
      <c:pieChart>
        <c:varyColors val="1"/>
        <c:ser>
          <c:idx val="0"/>
          <c:order val="0"/>
          <c:tx>
            <c:strRef>
              <c:f>'Pivot Report'!$B$69</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Report'!$A$70:$A$72</c:f>
              <c:strCache>
                <c:ptCount val="2"/>
                <c:pt idx="0">
                  <c:v>Delay</c:v>
                </c:pt>
                <c:pt idx="1">
                  <c:v>Ontime</c:v>
                </c:pt>
              </c:strCache>
            </c:strRef>
          </c:cat>
          <c:val>
            <c:numRef>
              <c:f>'Pivot Report'!$B$70:$B$72</c:f>
              <c:numCache>
                <c:formatCode>0</c:formatCode>
                <c:ptCount val="2"/>
                <c:pt idx="0">
                  <c:v>283</c:v>
                </c:pt>
                <c:pt idx="1">
                  <c:v>148</c:v>
                </c:pt>
              </c:numCache>
            </c:numRef>
          </c:val>
          <c:extLst>
            <c:ext xmlns:c16="http://schemas.microsoft.com/office/drawing/2014/chart" uri="{C3380CC4-5D6E-409C-BE32-E72D297353CC}">
              <c16:uniqueId val="{00000007-C01B-455A-A3D1-C3CBD1E238B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4575965003125815"/>
          <c:y val="1.646535427508982E-2"/>
          <c:w val="0.69368467523114163"/>
          <c:h val="0.1182391540928730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Report!PivotTable11</c:name>
    <c:fmtId val="22"/>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264035584277973"/>
          <c:y val="0.1284702839138154"/>
          <c:w val="0.6324700492950226"/>
          <c:h val="0.73561964721794437"/>
        </c:manualLayout>
      </c:layout>
      <c:doughnutChart>
        <c:varyColors val="1"/>
        <c:ser>
          <c:idx val="0"/>
          <c:order val="0"/>
          <c:tx>
            <c:strRef>
              <c:f>'Pivot Report'!$B$75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Report'!$A$76:$A$78</c:f>
              <c:strCache>
                <c:ptCount val="2"/>
                <c:pt idx="0">
                  <c:v>Female</c:v>
                </c:pt>
                <c:pt idx="1">
                  <c:v>Male</c:v>
                </c:pt>
              </c:strCache>
            </c:strRef>
          </c:cat>
          <c:val>
            <c:numRef>
              <c:f>'Pivot Report'!$B$76:$B$78</c:f>
              <c:numCache>
                <c:formatCode>0</c:formatCode>
                <c:ptCount val="2"/>
                <c:pt idx="0">
                  <c:v>194</c:v>
                </c:pt>
                <c:pt idx="1">
                  <c:v>237</c:v>
                </c:pt>
              </c:numCache>
            </c:numRef>
          </c:val>
          <c:extLst>
            <c:ext xmlns:c16="http://schemas.microsoft.com/office/drawing/2014/chart" uri="{C3380CC4-5D6E-409C-BE32-E72D297353CC}">
              <c16:uniqueId val="{00000007-6E34-4ED9-854F-78E6D6CC73C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3495544914474042"/>
          <c:y val="2.0241650963317717E-2"/>
          <c:w val="0.66676655271263641"/>
          <c:h val="0.1416862848697818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Report!PivotTable12</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Report'!$A$82:$A$90</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Report'!$B$82:$B$90</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3-5B36-4D87-84F6-346C78D630DD}"/>
            </c:ext>
          </c:extLst>
        </c:ser>
        <c:dLbls>
          <c:showLegendKey val="0"/>
          <c:showVal val="0"/>
          <c:showCatName val="0"/>
          <c:showSerName val="0"/>
          <c:showPercent val="0"/>
          <c:showBubbleSize val="0"/>
        </c:dLbls>
        <c:gapWidth val="20"/>
        <c:axId val="941614719"/>
        <c:axId val="941616159"/>
      </c:barChart>
      <c:catAx>
        <c:axId val="941614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41616159"/>
        <c:crosses val="autoZero"/>
        <c:auto val="1"/>
        <c:lblAlgn val="ctr"/>
        <c:lblOffset val="100"/>
        <c:noMultiLvlLbl val="0"/>
      </c:catAx>
      <c:valAx>
        <c:axId val="941616159"/>
        <c:scaling>
          <c:orientation val="minMax"/>
        </c:scaling>
        <c:delete val="1"/>
        <c:axPos val="b"/>
        <c:numFmt formatCode="0" sourceLinked="1"/>
        <c:majorTickMark val="none"/>
        <c:minorTickMark val="none"/>
        <c:tickLblPos val="nextTo"/>
        <c:crossAx val="94161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1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5400">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0"/>
          <c:w val="0.99722222222222223"/>
          <c:h val="1"/>
        </c:manualLayout>
      </c:layout>
      <c:areaChart>
        <c:grouping val="standard"/>
        <c:varyColors val="0"/>
        <c:ser>
          <c:idx val="0"/>
          <c:order val="0"/>
          <c:tx>
            <c:strRef>
              <c:f>'Pivot Report'!$H$4</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Report'!$G$5:$G$34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Report'!$H$5:$H$34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2-3205-4130-A169-8F8A347BC460}"/>
            </c:ext>
          </c:extLst>
        </c:ser>
        <c:dLbls>
          <c:showLegendKey val="0"/>
          <c:showVal val="1"/>
          <c:showCatName val="0"/>
          <c:showSerName val="0"/>
          <c:showPercent val="0"/>
          <c:showBubbleSize val="0"/>
        </c:dLbls>
        <c:axId val="164577071"/>
        <c:axId val="164573231"/>
      </c:areaChart>
      <c:catAx>
        <c:axId val="1645770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573231"/>
        <c:crosses val="autoZero"/>
        <c:auto val="1"/>
        <c:lblAlgn val="ctr"/>
        <c:lblOffset val="100"/>
        <c:noMultiLvlLbl val="0"/>
      </c:catAx>
      <c:valAx>
        <c:axId val="164573231"/>
        <c:scaling>
          <c:orientation val="minMax"/>
        </c:scaling>
        <c:delete val="1"/>
        <c:axPos val="l"/>
        <c:numFmt formatCode="0.00" sourceLinked="1"/>
        <c:majorTickMark val="out"/>
        <c:minorTickMark val="none"/>
        <c:tickLblPos val="nextTo"/>
        <c:crossAx val="1645770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Report!PivotTable4</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5400">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Report'!$E$4</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Report'!$D$5:$D$34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Report'!$E$5:$E$34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1-B98F-4A75-8AFA-F660B36517D7}"/>
            </c:ext>
          </c:extLst>
        </c:ser>
        <c:dLbls>
          <c:showLegendKey val="0"/>
          <c:showVal val="0"/>
          <c:showCatName val="0"/>
          <c:showSerName val="0"/>
          <c:showPercent val="0"/>
          <c:showBubbleSize val="0"/>
        </c:dLbls>
        <c:axId val="1531559119"/>
        <c:axId val="1531549039"/>
      </c:areaChart>
      <c:catAx>
        <c:axId val="15315591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1549039"/>
        <c:crosses val="autoZero"/>
        <c:auto val="1"/>
        <c:lblAlgn val="ctr"/>
        <c:lblOffset val="100"/>
        <c:noMultiLvlLbl val="0"/>
      </c:catAx>
      <c:valAx>
        <c:axId val="1531549039"/>
        <c:scaling>
          <c:orientation val="minMax"/>
        </c:scaling>
        <c:delete val="1"/>
        <c:axPos val="l"/>
        <c:numFmt formatCode="General" sourceLinked="1"/>
        <c:majorTickMark val="out"/>
        <c:minorTickMark val="none"/>
        <c:tickLblPos val="nextTo"/>
        <c:crossAx val="15315591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2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Report'!$L$4</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Report'!$K$5:$K$33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Report'!$L$5:$L$33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2-CDBE-4C63-B140-70E295ABE43F}"/>
            </c:ext>
          </c:extLst>
        </c:ser>
        <c:dLbls>
          <c:showLegendKey val="0"/>
          <c:showVal val="1"/>
          <c:showCatName val="0"/>
          <c:showSerName val="0"/>
          <c:showPercent val="0"/>
          <c:showBubbleSize val="0"/>
        </c:dLbls>
        <c:axId val="839437615"/>
        <c:axId val="839439055"/>
      </c:areaChart>
      <c:catAx>
        <c:axId val="8394376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9439055"/>
        <c:crosses val="autoZero"/>
        <c:auto val="1"/>
        <c:lblAlgn val="ctr"/>
        <c:lblOffset val="100"/>
        <c:noMultiLvlLbl val="0"/>
      </c:catAx>
      <c:valAx>
        <c:axId val="839439055"/>
        <c:scaling>
          <c:orientation val="minMax"/>
        </c:scaling>
        <c:delete val="1"/>
        <c:axPos val="l"/>
        <c:numFmt formatCode="0.00" sourceLinked="1"/>
        <c:majorTickMark val="out"/>
        <c:minorTickMark val="none"/>
        <c:tickLblPos val="nextTo"/>
        <c:crossAx val="8394376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faction score daily trends'!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g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9525</xdr:colOff>
      <xdr:row>49</xdr:row>
      <xdr:rowOff>95250</xdr:rowOff>
    </xdr:from>
    <xdr:to>
      <xdr:col>3</xdr:col>
      <xdr:colOff>2057400</xdr:colOff>
      <xdr:row>52</xdr:row>
      <xdr:rowOff>0</xdr:rowOff>
    </xdr:to>
    <xdr:graphicFrame macro="">
      <xdr:nvGraphicFramePr>
        <xdr:cNvPr id="10" name="Chart 9">
          <a:extLst>
            <a:ext uri="{FF2B5EF4-FFF2-40B4-BE49-F238E27FC236}">
              <a16:creationId xmlns:a16="http://schemas.microsoft.com/office/drawing/2014/main" id="{50E7442E-2AD8-FA63-679A-7CC532154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65943</xdr:colOff>
      <xdr:row>0</xdr:row>
      <xdr:rowOff>109903</xdr:rowOff>
    </xdr:from>
    <xdr:to>
      <xdr:col>6</xdr:col>
      <xdr:colOff>219808</xdr:colOff>
      <xdr:row>3</xdr:row>
      <xdr:rowOff>80595</xdr:rowOff>
    </xdr:to>
    <xdr:sp macro="" textlink="">
      <xdr:nvSpPr>
        <xdr:cNvPr id="2" name="Rectangle: Rounded Corners 1">
          <a:extLst>
            <a:ext uri="{FF2B5EF4-FFF2-40B4-BE49-F238E27FC236}">
              <a16:creationId xmlns:a16="http://schemas.microsoft.com/office/drawing/2014/main" id="{6A5AB106-E7DA-BEAC-DF38-C845F751180E}"/>
            </a:ext>
          </a:extLst>
        </xdr:cNvPr>
        <xdr:cNvSpPr/>
      </xdr:nvSpPr>
      <xdr:spPr>
        <a:xfrm>
          <a:off x="65943" y="109903"/>
          <a:ext cx="3802673" cy="542192"/>
        </a:xfrm>
        <a:prstGeom prst="roundRect">
          <a:avLst/>
        </a:prstGeom>
        <a:solidFill>
          <a:schemeClr val="accent5">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315057</xdr:colOff>
      <xdr:row>0</xdr:row>
      <xdr:rowOff>109903</xdr:rowOff>
    </xdr:from>
    <xdr:to>
      <xdr:col>8</xdr:col>
      <xdr:colOff>395653</xdr:colOff>
      <xdr:row>3</xdr:row>
      <xdr:rowOff>73268</xdr:rowOff>
    </xdr:to>
    <xdr:sp macro="" textlink="">
      <xdr:nvSpPr>
        <xdr:cNvPr id="3" name="Rectangle: Rounded Corners 2">
          <a:extLst>
            <a:ext uri="{FF2B5EF4-FFF2-40B4-BE49-F238E27FC236}">
              <a16:creationId xmlns:a16="http://schemas.microsoft.com/office/drawing/2014/main" id="{4BF40932-F5CD-4EC5-9B73-4CC99DAC9109}"/>
            </a:ext>
          </a:extLst>
        </xdr:cNvPr>
        <xdr:cNvSpPr/>
      </xdr:nvSpPr>
      <xdr:spPr>
        <a:xfrm>
          <a:off x="3963865" y="109903"/>
          <a:ext cx="1296865" cy="534865"/>
        </a:xfrm>
        <a:prstGeom prst="roundRect">
          <a:avLst/>
        </a:prstGeom>
        <a:solidFill>
          <a:schemeClr val="accent5">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490902</xdr:colOff>
      <xdr:row>0</xdr:row>
      <xdr:rowOff>95475</xdr:rowOff>
    </xdr:from>
    <xdr:to>
      <xdr:col>12</xdr:col>
      <xdr:colOff>51287</xdr:colOff>
      <xdr:row>9</xdr:row>
      <xdr:rowOff>95250</xdr:rowOff>
    </xdr:to>
    <xdr:sp macro="" textlink="">
      <xdr:nvSpPr>
        <xdr:cNvPr id="4" name="Rectangle: Rounded Corners 3">
          <a:extLst>
            <a:ext uri="{FF2B5EF4-FFF2-40B4-BE49-F238E27FC236}">
              <a16:creationId xmlns:a16="http://schemas.microsoft.com/office/drawing/2014/main" id="{67101C92-857C-A4CA-0390-EF59A3FF5727}"/>
            </a:ext>
          </a:extLst>
        </xdr:cNvPr>
        <xdr:cNvSpPr/>
      </xdr:nvSpPr>
      <xdr:spPr>
        <a:xfrm>
          <a:off x="5355979" y="95475"/>
          <a:ext cx="1992923" cy="1714275"/>
        </a:xfrm>
        <a:prstGeom prst="roundRect">
          <a:avLst>
            <a:gd name="adj" fmla="val 4332"/>
          </a:avLst>
        </a:prstGeom>
        <a:solidFill>
          <a:schemeClr val="accent5">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153864</xdr:colOff>
      <xdr:row>0</xdr:row>
      <xdr:rowOff>87923</xdr:rowOff>
    </xdr:from>
    <xdr:to>
      <xdr:col>15</xdr:col>
      <xdr:colOff>322383</xdr:colOff>
      <xdr:row>9</xdr:row>
      <xdr:rowOff>87698</xdr:rowOff>
    </xdr:to>
    <xdr:sp macro="" textlink="">
      <xdr:nvSpPr>
        <xdr:cNvPr id="5" name="Rectangle: Rounded Corners 4">
          <a:extLst>
            <a:ext uri="{FF2B5EF4-FFF2-40B4-BE49-F238E27FC236}">
              <a16:creationId xmlns:a16="http://schemas.microsoft.com/office/drawing/2014/main" id="{D9F596DE-7218-AEC8-5FE8-4DCBFD89F887}"/>
            </a:ext>
          </a:extLst>
        </xdr:cNvPr>
        <xdr:cNvSpPr/>
      </xdr:nvSpPr>
      <xdr:spPr>
        <a:xfrm>
          <a:off x="7451479" y="87923"/>
          <a:ext cx="1992923" cy="1714275"/>
        </a:xfrm>
        <a:prstGeom prst="roundRect">
          <a:avLst>
            <a:gd name="adj" fmla="val 4332"/>
          </a:avLst>
        </a:prstGeom>
        <a:solidFill>
          <a:schemeClr val="accent5">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65944</xdr:colOff>
      <xdr:row>3</xdr:row>
      <xdr:rowOff>124558</xdr:rowOff>
    </xdr:from>
    <xdr:to>
      <xdr:col>1</xdr:col>
      <xdr:colOff>512885</xdr:colOff>
      <xdr:row>21</xdr:row>
      <xdr:rowOff>102577</xdr:rowOff>
    </xdr:to>
    <xdr:sp macro="" textlink="">
      <xdr:nvSpPr>
        <xdr:cNvPr id="6" name="Rectangle: Rounded Corners 5">
          <a:extLst>
            <a:ext uri="{FF2B5EF4-FFF2-40B4-BE49-F238E27FC236}">
              <a16:creationId xmlns:a16="http://schemas.microsoft.com/office/drawing/2014/main" id="{7A082976-8212-8A6B-56B5-0F85BE6D0E40}"/>
            </a:ext>
          </a:extLst>
        </xdr:cNvPr>
        <xdr:cNvSpPr/>
      </xdr:nvSpPr>
      <xdr:spPr>
        <a:xfrm>
          <a:off x="65944" y="696058"/>
          <a:ext cx="1055076" cy="3407019"/>
        </a:xfrm>
        <a:prstGeom prst="roundRect">
          <a:avLst>
            <a:gd name="adj" fmla="val 9140"/>
          </a:avLst>
        </a:prstGeom>
        <a:solidFill>
          <a:schemeClr val="accent5">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564174</xdr:colOff>
      <xdr:row>3</xdr:row>
      <xdr:rowOff>161192</xdr:rowOff>
    </xdr:from>
    <xdr:to>
      <xdr:col>8</xdr:col>
      <xdr:colOff>410308</xdr:colOff>
      <xdr:row>8</xdr:row>
      <xdr:rowOff>139211</xdr:rowOff>
    </xdr:to>
    <xdr:grpSp>
      <xdr:nvGrpSpPr>
        <xdr:cNvPr id="15" name="Group 14">
          <a:extLst>
            <a:ext uri="{FF2B5EF4-FFF2-40B4-BE49-F238E27FC236}">
              <a16:creationId xmlns:a16="http://schemas.microsoft.com/office/drawing/2014/main" id="{B1181C50-EFBD-71AE-7446-CDFC18DDFDBA}"/>
            </a:ext>
          </a:extLst>
        </xdr:cNvPr>
        <xdr:cNvGrpSpPr/>
      </xdr:nvGrpSpPr>
      <xdr:grpSpPr>
        <a:xfrm>
          <a:off x="1171393" y="732692"/>
          <a:ext cx="4096665" cy="930519"/>
          <a:chOff x="1150328" y="659424"/>
          <a:chExt cx="4095749" cy="791308"/>
        </a:xfrm>
      </xdr:grpSpPr>
      <xdr:sp macro="" textlink="">
        <xdr:nvSpPr>
          <xdr:cNvPr id="8" name="Rectangle: Rounded Corners 7">
            <a:extLst>
              <a:ext uri="{FF2B5EF4-FFF2-40B4-BE49-F238E27FC236}">
                <a16:creationId xmlns:a16="http://schemas.microsoft.com/office/drawing/2014/main" id="{A53283CC-C3F0-6F02-D965-EF8DDD76E9FA}"/>
              </a:ext>
            </a:extLst>
          </xdr:cNvPr>
          <xdr:cNvSpPr/>
        </xdr:nvSpPr>
        <xdr:spPr>
          <a:xfrm>
            <a:off x="1150328" y="659424"/>
            <a:ext cx="1317097" cy="791308"/>
          </a:xfrm>
          <a:prstGeom prst="roundRect">
            <a:avLst>
              <a:gd name="adj" fmla="val 2841"/>
            </a:avLst>
          </a:prstGeom>
          <a:solidFill>
            <a:schemeClr val="accent5">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554AFA09-ECB4-180A-3769-40DD5EDB09E3}"/>
              </a:ext>
            </a:extLst>
          </xdr:cNvPr>
          <xdr:cNvSpPr/>
        </xdr:nvSpPr>
        <xdr:spPr>
          <a:xfrm>
            <a:off x="2535405" y="659424"/>
            <a:ext cx="1317097" cy="791308"/>
          </a:xfrm>
          <a:prstGeom prst="roundRect">
            <a:avLst>
              <a:gd name="adj" fmla="val 2841"/>
            </a:avLst>
          </a:prstGeom>
          <a:solidFill>
            <a:schemeClr val="accent5">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6C0EF859-42C9-E750-6F51-E050B96BCBFE}"/>
              </a:ext>
            </a:extLst>
          </xdr:cNvPr>
          <xdr:cNvSpPr/>
        </xdr:nvSpPr>
        <xdr:spPr>
          <a:xfrm>
            <a:off x="3928980" y="659424"/>
            <a:ext cx="1317097" cy="791308"/>
          </a:xfrm>
          <a:prstGeom prst="roundRect">
            <a:avLst>
              <a:gd name="adj" fmla="val 2053"/>
            </a:avLst>
          </a:prstGeom>
          <a:solidFill>
            <a:schemeClr val="accent5">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571501</xdr:colOff>
      <xdr:row>13</xdr:row>
      <xdr:rowOff>146535</xdr:rowOff>
    </xdr:from>
    <xdr:to>
      <xdr:col>8</xdr:col>
      <xdr:colOff>388327</xdr:colOff>
      <xdr:row>21</xdr:row>
      <xdr:rowOff>102577</xdr:rowOff>
    </xdr:to>
    <xdr:sp macro="" textlink="">
      <xdr:nvSpPr>
        <xdr:cNvPr id="13" name="Rectangle: Rounded Corners 12">
          <a:extLst>
            <a:ext uri="{FF2B5EF4-FFF2-40B4-BE49-F238E27FC236}">
              <a16:creationId xmlns:a16="http://schemas.microsoft.com/office/drawing/2014/main" id="{3520F97D-1EF2-9C2E-6E1D-A7728C4DDB79}"/>
            </a:ext>
          </a:extLst>
        </xdr:cNvPr>
        <xdr:cNvSpPr/>
      </xdr:nvSpPr>
      <xdr:spPr>
        <a:xfrm>
          <a:off x="1179636" y="2623035"/>
          <a:ext cx="4073768" cy="1480042"/>
        </a:xfrm>
        <a:prstGeom prst="roundRect">
          <a:avLst>
            <a:gd name="adj" fmla="val 9140"/>
          </a:avLst>
        </a:prstGeom>
        <a:solidFill>
          <a:schemeClr val="accent5">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8</xdr:col>
      <xdr:colOff>476251</xdr:colOff>
      <xdr:row>10</xdr:row>
      <xdr:rowOff>21980</xdr:rowOff>
    </xdr:from>
    <xdr:to>
      <xdr:col>15</xdr:col>
      <xdr:colOff>344365</xdr:colOff>
      <xdr:row>21</xdr:row>
      <xdr:rowOff>109904</xdr:rowOff>
    </xdr:to>
    <xdr:sp macro="" textlink="">
      <xdr:nvSpPr>
        <xdr:cNvPr id="26" name="Rectangle: Rounded Corners 25">
          <a:extLst>
            <a:ext uri="{FF2B5EF4-FFF2-40B4-BE49-F238E27FC236}">
              <a16:creationId xmlns:a16="http://schemas.microsoft.com/office/drawing/2014/main" id="{9A5A5637-4032-72D1-7C6A-14BDC72B8281}"/>
            </a:ext>
          </a:extLst>
        </xdr:cNvPr>
        <xdr:cNvSpPr/>
      </xdr:nvSpPr>
      <xdr:spPr>
        <a:xfrm>
          <a:off x="5341328" y="1926980"/>
          <a:ext cx="4125056" cy="2183424"/>
        </a:xfrm>
        <a:prstGeom prst="roundRect">
          <a:avLst>
            <a:gd name="adj" fmla="val 4332"/>
          </a:avLst>
        </a:prstGeom>
        <a:solidFill>
          <a:schemeClr val="accent5">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131887</xdr:colOff>
      <xdr:row>0</xdr:row>
      <xdr:rowOff>131885</xdr:rowOff>
    </xdr:from>
    <xdr:to>
      <xdr:col>5</xdr:col>
      <xdr:colOff>446943</xdr:colOff>
      <xdr:row>2</xdr:row>
      <xdr:rowOff>14655</xdr:rowOff>
    </xdr:to>
    <xdr:sp macro="" textlink="">
      <xdr:nvSpPr>
        <xdr:cNvPr id="27" name="TextBox 26">
          <a:extLst>
            <a:ext uri="{FF2B5EF4-FFF2-40B4-BE49-F238E27FC236}">
              <a16:creationId xmlns:a16="http://schemas.microsoft.com/office/drawing/2014/main" id="{0FB1CA98-B419-D170-4959-48F26AC1DD5C}"/>
            </a:ext>
          </a:extLst>
        </xdr:cNvPr>
        <xdr:cNvSpPr txBox="1"/>
      </xdr:nvSpPr>
      <xdr:spPr>
        <a:xfrm>
          <a:off x="740022" y="131885"/>
          <a:ext cx="2747594" cy="26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t>Hospital Emergency Room Dashboard</a:t>
          </a:r>
        </a:p>
      </xdr:txBody>
    </xdr:sp>
    <xdr:clientData/>
  </xdr:twoCellAnchor>
  <xdr:twoCellAnchor editAs="absolute">
    <xdr:from>
      <xdr:col>0</xdr:col>
      <xdr:colOff>175846</xdr:colOff>
      <xdr:row>1</xdr:row>
      <xdr:rowOff>21981</xdr:rowOff>
    </xdr:from>
    <xdr:to>
      <xdr:col>0</xdr:col>
      <xdr:colOff>564173</xdr:colOff>
      <xdr:row>2</xdr:row>
      <xdr:rowOff>139212</xdr:rowOff>
    </xdr:to>
    <xdr:pic>
      <xdr:nvPicPr>
        <xdr:cNvPr id="29" name="Picture 28">
          <a:extLst>
            <a:ext uri="{FF2B5EF4-FFF2-40B4-BE49-F238E27FC236}">
              <a16:creationId xmlns:a16="http://schemas.microsoft.com/office/drawing/2014/main" id="{758F04FC-9AE8-E972-2A3F-13609CED4D2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405" t="1" r="16717" b="4545"/>
        <a:stretch>
          <a:fillRect/>
        </a:stretch>
      </xdr:blipFill>
      <xdr:spPr>
        <a:xfrm>
          <a:off x="175846" y="212481"/>
          <a:ext cx="388327" cy="307731"/>
        </a:xfrm>
        <a:prstGeom prst="rect">
          <a:avLst/>
        </a:prstGeom>
      </xdr:spPr>
    </xdr:pic>
    <xdr:clientData/>
  </xdr:twoCellAnchor>
  <xdr:twoCellAnchor editAs="absolute">
    <xdr:from>
      <xdr:col>2</xdr:col>
      <xdr:colOff>395656</xdr:colOff>
      <xdr:row>1</xdr:row>
      <xdr:rowOff>153865</xdr:rowOff>
    </xdr:from>
    <xdr:to>
      <xdr:col>4</xdr:col>
      <xdr:colOff>183175</xdr:colOff>
      <xdr:row>2</xdr:row>
      <xdr:rowOff>183173</xdr:rowOff>
    </xdr:to>
    <xdr:sp macro="" textlink="">
      <xdr:nvSpPr>
        <xdr:cNvPr id="30" name="TextBox 29">
          <a:extLst>
            <a:ext uri="{FF2B5EF4-FFF2-40B4-BE49-F238E27FC236}">
              <a16:creationId xmlns:a16="http://schemas.microsoft.com/office/drawing/2014/main" id="{46B8748A-2579-4AED-996F-9C04E26A784E}"/>
            </a:ext>
          </a:extLst>
        </xdr:cNvPr>
        <xdr:cNvSpPr txBox="1"/>
      </xdr:nvSpPr>
      <xdr:spPr>
        <a:xfrm>
          <a:off x="1611925" y="344365"/>
          <a:ext cx="1003788" cy="219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Monthly</a:t>
          </a:r>
          <a:r>
            <a:rPr lang="en-IN" sz="1200" baseline="0"/>
            <a:t> Report</a:t>
          </a:r>
          <a:endParaRPr lang="en-IN" sz="1200"/>
        </a:p>
      </xdr:txBody>
    </xdr:sp>
    <xdr:clientData/>
  </xdr:twoCellAnchor>
  <xdr:twoCellAnchor editAs="absolute">
    <xdr:from>
      <xdr:col>2</xdr:col>
      <xdr:colOff>38218</xdr:colOff>
      <xdr:row>5</xdr:row>
      <xdr:rowOff>189033</xdr:rowOff>
    </xdr:from>
    <xdr:to>
      <xdr:col>4</xdr:col>
      <xdr:colOff>58616</xdr:colOff>
      <xdr:row>7</xdr:row>
      <xdr:rowOff>21981</xdr:rowOff>
    </xdr:to>
    <xdr:sp macro="" textlink="">
      <xdr:nvSpPr>
        <xdr:cNvPr id="31" name="TextBox 30">
          <a:extLst>
            <a:ext uri="{FF2B5EF4-FFF2-40B4-BE49-F238E27FC236}">
              <a16:creationId xmlns:a16="http://schemas.microsoft.com/office/drawing/2014/main" id="{6B870B6D-FDCF-A27F-29B9-0511E706515D}"/>
            </a:ext>
          </a:extLst>
        </xdr:cNvPr>
        <xdr:cNvSpPr txBox="1"/>
      </xdr:nvSpPr>
      <xdr:spPr>
        <a:xfrm>
          <a:off x="1254487" y="1141533"/>
          <a:ext cx="1236667" cy="213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No.of</a:t>
          </a:r>
          <a:r>
            <a:rPr lang="en-IN" sz="1200" baseline="0"/>
            <a:t> Patient</a:t>
          </a:r>
          <a:endParaRPr lang="en-IN" sz="1200"/>
        </a:p>
      </xdr:txBody>
    </xdr:sp>
    <xdr:clientData/>
  </xdr:twoCellAnchor>
  <xdr:twoCellAnchor editAs="absolute">
    <xdr:from>
      <xdr:col>1</xdr:col>
      <xdr:colOff>587949</xdr:colOff>
      <xdr:row>5</xdr:row>
      <xdr:rowOff>27840</xdr:rowOff>
    </xdr:from>
    <xdr:to>
      <xdr:col>4</xdr:col>
      <xdr:colOff>7084</xdr:colOff>
      <xdr:row>6</xdr:row>
      <xdr:rowOff>64943</xdr:rowOff>
    </xdr:to>
    <xdr:sp macro="" textlink="'Pivot Report'!A5">
      <xdr:nvSpPr>
        <xdr:cNvPr id="32" name="TextBox 31">
          <a:extLst>
            <a:ext uri="{FF2B5EF4-FFF2-40B4-BE49-F238E27FC236}">
              <a16:creationId xmlns:a16="http://schemas.microsoft.com/office/drawing/2014/main" id="{81CFA4EE-AFA6-7039-F1A6-18E7E09F5EA2}"/>
            </a:ext>
          </a:extLst>
        </xdr:cNvPr>
        <xdr:cNvSpPr txBox="1"/>
      </xdr:nvSpPr>
      <xdr:spPr>
        <a:xfrm>
          <a:off x="1196084" y="980340"/>
          <a:ext cx="1243538" cy="227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175F6E2-D267-4673-8507-55E4B375ED0E}" type="TxLink">
            <a:rPr lang="en-US" sz="1200" b="0" i="0" u="none" strike="noStrike">
              <a:solidFill>
                <a:srgbClr val="000000"/>
              </a:solidFill>
              <a:latin typeface="Calibri"/>
              <a:ea typeface="Calibri"/>
              <a:cs typeface="Calibri"/>
            </a:rPr>
            <a:pPr algn="ctr"/>
            <a:t>431</a:t>
          </a:fld>
          <a:endParaRPr lang="en-IN" sz="1200"/>
        </a:p>
      </xdr:txBody>
    </xdr:sp>
    <xdr:clientData/>
  </xdr:twoCellAnchor>
  <xdr:twoCellAnchor editAs="absolute">
    <xdr:from>
      <xdr:col>4</xdr:col>
      <xdr:colOff>206737</xdr:colOff>
      <xdr:row>5</xdr:row>
      <xdr:rowOff>189033</xdr:rowOff>
    </xdr:from>
    <xdr:to>
      <xdr:col>6</xdr:col>
      <xdr:colOff>227134</xdr:colOff>
      <xdr:row>7</xdr:row>
      <xdr:rowOff>21981</xdr:rowOff>
    </xdr:to>
    <xdr:sp macro="" textlink="">
      <xdr:nvSpPr>
        <xdr:cNvPr id="43" name="TextBox 42">
          <a:extLst>
            <a:ext uri="{FF2B5EF4-FFF2-40B4-BE49-F238E27FC236}">
              <a16:creationId xmlns:a16="http://schemas.microsoft.com/office/drawing/2014/main" id="{07DC33BA-7A8A-64E1-A988-678DE8954618}"/>
            </a:ext>
          </a:extLst>
        </xdr:cNvPr>
        <xdr:cNvSpPr txBox="1"/>
      </xdr:nvSpPr>
      <xdr:spPr>
        <a:xfrm>
          <a:off x="2639275" y="1141533"/>
          <a:ext cx="1236667" cy="213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Average</a:t>
          </a:r>
          <a:r>
            <a:rPr lang="en-IN" sz="1200" baseline="0"/>
            <a:t> Wait Time</a:t>
          </a:r>
          <a:endParaRPr lang="en-IN" sz="1200"/>
        </a:p>
      </xdr:txBody>
    </xdr:sp>
    <xdr:clientData/>
  </xdr:twoCellAnchor>
  <xdr:twoCellAnchor editAs="absolute">
    <xdr:from>
      <xdr:col>4</xdr:col>
      <xdr:colOff>148334</xdr:colOff>
      <xdr:row>5</xdr:row>
      <xdr:rowOff>27840</xdr:rowOff>
    </xdr:from>
    <xdr:to>
      <xdr:col>6</xdr:col>
      <xdr:colOff>175602</xdr:colOff>
      <xdr:row>6</xdr:row>
      <xdr:rowOff>64943</xdr:rowOff>
    </xdr:to>
    <xdr:sp macro="" textlink="'Pivot Report'!A9">
      <xdr:nvSpPr>
        <xdr:cNvPr id="44" name="TextBox 43">
          <a:extLst>
            <a:ext uri="{FF2B5EF4-FFF2-40B4-BE49-F238E27FC236}">
              <a16:creationId xmlns:a16="http://schemas.microsoft.com/office/drawing/2014/main" id="{9BC997E0-F85D-DF13-FFE8-31800E4C8DE9}"/>
            </a:ext>
          </a:extLst>
        </xdr:cNvPr>
        <xdr:cNvSpPr txBox="1"/>
      </xdr:nvSpPr>
      <xdr:spPr>
        <a:xfrm>
          <a:off x="2580872" y="980340"/>
          <a:ext cx="1243538" cy="227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A7629AC-9AE9-4D45-8F49-BF99B43B2728}" type="TxLink">
            <a:rPr lang="en-US" sz="1200" b="0" i="0" u="none" strike="noStrike">
              <a:solidFill>
                <a:srgbClr val="000000"/>
              </a:solidFill>
              <a:latin typeface="Calibri"/>
              <a:ea typeface="Calibri"/>
              <a:cs typeface="Calibri"/>
            </a:rPr>
            <a:pPr algn="ctr"/>
            <a:t>36.67</a:t>
          </a:fld>
          <a:endParaRPr lang="en-IN" sz="1400"/>
        </a:p>
      </xdr:txBody>
    </xdr:sp>
    <xdr:clientData/>
  </xdr:twoCellAnchor>
  <xdr:twoCellAnchor editAs="absolute">
    <xdr:from>
      <xdr:col>6</xdr:col>
      <xdr:colOff>353274</xdr:colOff>
      <xdr:row>5</xdr:row>
      <xdr:rowOff>189033</xdr:rowOff>
    </xdr:from>
    <xdr:to>
      <xdr:col>8</xdr:col>
      <xdr:colOff>381000</xdr:colOff>
      <xdr:row>8</xdr:row>
      <xdr:rowOff>36635</xdr:rowOff>
    </xdr:to>
    <xdr:sp macro="" textlink="">
      <xdr:nvSpPr>
        <xdr:cNvPr id="45" name="TextBox 44">
          <a:extLst>
            <a:ext uri="{FF2B5EF4-FFF2-40B4-BE49-F238E27FC236}">
              <a16:creationId xmlns:a16="http://schemas.microsoft.com/office/drawing/2014/main" id="{6476CB0B-B04D-9C52-757D-D0CFF8E2C5C4}"/>
            </a:ext>
          </a:extLst>
        </xdr:cNvPr>
        <xdr:cNvSpPr txBox="1"/>
      </xdr:nvSpPr>
      <xdr:spPr>
        <a:xfrm>
          <a:off x="4002082" y="1141533"/>
          <a:ext cx="1243995" cy="419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50" baseline="0"/>
            <a:t>Patient Satisfaction Score</a:t>
          </a:r>
          <a:endParaRPr lang="en-IN" sz="1050"/>
        </a:p>
      </xdr:txBody>
    </xdr:sp>
    <xdr:clientData/>
  </xdr:twoCellAnchor>
  <xdr:twoCellAnchor editAs="absolute">
    <xdr:from>
      <xdr:col>6</xdr:col>
      <xdr:colOff>316852</xdr:colOff>
      <xdr:row>5</xdr:row>
      <xdr:rowOff>27840</xdr:rowOff>
    </xdr:from>
    <xdr:to>
      <xdr:col>8</xdr:col>
      <xdr:colOff>344121</xdr:colOff>
      <xdr:row>6</xdr:row>
      <xdr:rowOff>64943</xdr:rowOff>
    </xdr:to>
    <xdr:sp macro="" textlink="'Pivot Report'!A12">
      <xdr:nvSpPr>
        <xdr:cNvPr id="46" name="TextBox 45">
          <a:extLst>
            <a:ext uri="{FF2B5EF4-FFF2-40B4-BE49-F238E27FC236}">
              <a16:creationId xmlns:a16="http://schemas.microsoft.com/office/drawing/2014/main" id="{C4BD08F6-FBAF-5A05-E027-8C0255A0FED1}"/>
            </a:ext>
          </a:extLst>
        </xdr:cNvPr>
        <xdr:cNvSpPr txBox="1"/>
      </xdr:nvSpPr>
      <xdr:spPr>
        <a:xfrm>
          <a:off x="3965660" y="980340"/>
          <a:ext cx="1243538" cy="227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AAFC290-610A-4407-A85D-4B5AEEE32E57}" type="TxLink">
            <a:rPr lang="en-US" sz="1200" b="0" i="0" u="none" strike="noStrike">
              <a:solidFill>
                <a:srgbClr val="000000"/>
              </a:solidFill>
              <a:latin typeface="Calibri"/>
              <a:ea typeface="Calibri"/>
              <a:cs typeface="Calibri"/>
            </a:rPr>
            <a:pPr algn="ctr"/>
            <a:t>4.72</a:t>
          </a:fld>
          <a:endParaRPr lang="en-IN" sz="1400"/>
        </a:p>
      </xdr:txBody>
    </xdr:sp>
    <xdr:clientData/>
  </xdr:twoCellAnchor>
  <xdr:twoCellAnchor editAs="oneCell">
    <xdr:from>
      <xdr:col>3</xdr:col>
      <xdr:colOff>241788</xdr:colOff>
      <xdr:row>3</xdr:row>
      <xdr:rowOff>168520</xdr:rowOff>
    </xdr:from>
    <xdr:to>
      <xdr:col>4</xdr:col>
      <xdr:colOff>914</xdr:colOff>
      <xdr:row>5</xdr:row>
      <xdr:rowOff>153865</xdr:rowOff>
    </xdr:to>
    <xdr:pic>
      <xdr:nvPicPr>
        <xdr:cNvPr id="54" name="Graphic 53" descr="User with solid fill">
          <a:extLst>
            <a:ext uri="{FF2B5EF4-FFF2-40B4-BE49-F238E27FC236}">
              <a16:creationId xmlns:a16="http://schemas.microsoft.com/office/drawing/2014/main" id="{090FDAC7-2065-D4B1-9CB0-E3A3FA145C6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66192" y="740020"/>
          <a:ext cx="366345" cy="366345"/>
        </a:xfrm>
        <a:prstGeom prst="rect">
          <a:avLst/>
        </a:prstGeom>
      </xdr:spPr>
    </xdr:pic>
    <xdr:clientData/>
  </xdr:twoCellAnchor>
  <xdr:twoCellAnchor editAs="oneCell">
    <xdr:from>
      <xdr:col>7</xdr:col>
      <xdr:colOff>549520</xdr:colOff>
      <xdr:row>3</xdr:row>
      <xdr:rowOff>183174</xdr:rowOff>
    </xdr:from>
    <xdr:to>
      <xdr:col>8</xdr:col>
      <xdr:colOff>315059</xdr:colOff>
      <xdr:row>5</xdr:row>
      <xdr:rowOff>175848</xdr:rowOff>
    </xdr:to>
    <xdr:pic>
      <xdr:nvPicPr>
        <xdr:cNvPr id="56" name="Graphic 55" descr="Customer review with solid fill">
          <a:extLst>
            <a:ext uri="{FF2B5EF4-FFF2-40B4-BE49-F238E27FC236}">
              <a16:creationId xmlns:a16="http://schemas.microsoft.com/office/drawing/2014/main" id="{A89420FD-B231-456F-3ED4-0958AD4DF2C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806462" y="754674"/>
          <a:ext cx="373674" cy="373674"/>
        </a:xfrm>
        <a:prstGeom prst="rect">
          <a:avLst/>
        </a:prstGeom>
      </xdr:spPr>
    </xdr:pic>
    <xdr:clientData/>
  </xdr:twoCellAnchor>
  <xdr:twoCellAnchor editAs="oneCell">
    <xdr:from>
      <xdr:col>5</xdr:col>
      <xdr:colOff>454270</xdr:colOff>
      <xdr:row>4</xdr:row>
      <xdr:rowOff>0</xdr:rowOff>
    </xdr:from>
    <xdr:to>
      <xdr:col>6</xdr:col>
      <xdr:colOff>175846</xdr:colOff>
      <xdr:row>5</xdr:row>
      <xdr:rowOff>139211</xdr:rowOff>
    </xdr:to>
    <xdr:pic>
      <xdr:nvPicPr>
        <xdr:cNvPr id="58" name="Graphic 57" descr="Hourglass Finished with solid fill">
          <a:extLst>
            <a:ext uri="{FF2B5EF4-FFF2-40B4-BE49-F238E27FC236}">
              <a16:creationId xmlns:a16="http://schemas.microsoft.com/office/drawing/2014/main" id="{ECC9E87F-E2E2-D64C-A31B-1DEF794643E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494943" y="762000"/>
          <a:ext cx="329711" cy="329711"/>
        </a:xfrm>
        <a:prstGeom prst="rect">
          <a:avLst/>
        </a:prstGeom>
      </xdr:spPr>
    </xdr:pic>
    <xdr:clientData/>
  </xdr:twoCellAnchor>
  <xdr:twoCellAnchor editAs="oneCell">
    <xdr:from>
      <xdr:col>0</xdr:col>
      <xdr:colOff>139212</xdr:colOff>
      <xdr:row>3</xdr:row>
      <xdr:rowOff>153865</xdr:rowOff>
    </xdr:from>
    <xdr:to>
      <xdr:col>1</xdr:col>
      <xdr:colOff>395653</xdr:colOff>
      <xdr:row>21</xdr:row>
      <xdr:rowOff>58614</xdr:rowOff>
    </xdr:to>
    <mc:AlternateContent xmlns:mc="http://schemas.openxmlformats.org/markup-compatibility/2006" xmlns:a14="http://schemas.microsoft.com/office/drawing/2010/main">
      <mc:Choice Requires="a14">
        <xdr:graphicFrame macro="">
          <xdr:nvGraphicFramePr>
            <xdr:cNvPr id="59" name="Date (Month) 1">
              <a:extLst>
                <a:ext uri="{FF2B5EF4-FFF2-40B4-BE49-F238E27FC236}">
                  <a16:creationId xmlns:a16="http://schemas.microsoft.com/office/drawing/2014/main" id="{7B32B0CD-2DA0-478D-8582-11DD02C129D1}"/>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41117" y="734157"/>
              <a:ext cx="867946" cy="3390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549519</xdr:colOff>
      <xdr:row>6</xdr:row>
      <xdr:rowOff>86454</xdr:rowOff>
    </xdr:from>
    <xdr:to>
      <xdr:col>4</xdr:col>
      <xdr:colOff>58616</xdr:colOff>
      <xdr:row>8</xdr:row>
      <xdr:rowOff>139211</xdr:rowOff>
    </xdr:to>
    <xdr:graphicFrame macro="">
      <xdr:nvGraphicFramePr>
        <xdr:cNvPr id="61" name="Chart 60">
          <a:hlinkClick xmlns:r="http://schemas.openxmlformats.org/officeDocument/2006/relationships" r:id="rId8"/>
          <a:extLst>
            <a:ext uri="{FF2B5EF4-FFF2-40B4-BE49-F238E27FC236}">
              <a16:creationId xmlns:a16="http://schemas.microsoft.com/office/drawing/2014/main" id="{8D0B7C5E-9186-3443-6B29-460EBDFAB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139211</xdr:colOff>
      <xdr:row>6</xdr:row>
      <xdr:rowOff>139211</xdr:rowOff>
    </xdr:from>
    <xdr:to>
      <xdr:col>6</xdr:col>
      <xdr:colOff>212480</xdr:colOff>
      <xdr:row>8</xdr:row>
      <xdr:rowOff>131884</xdr:rowOff>
    </xdr:to>
    <xdr:graphicFrame macro="">
      <xdr:nvGraphicFramePr>
        <xdr:cNvPr id="7" name="Chart 6">
          <a:hlinkClick xmlns:r="http://schemas.openxmlformats.org/officeDocument/2006/relationships" r:id="rId10"/>
          <a:extLst>
            <a:ext uri="{FF2B5EF4-FFF2-40B4-BE49-F238E27FC236}">
              <a16:creationId xmlns:a16="http://schemas.microsoft.com/office/drawing/2014/main" id="{D45E8B48-C201-4FBE-929E-7BB90F6BB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344364</xdr:colOff>
      <xdr:row>6</xdr:row>
      <xdr:rowOff>175847</xdr:rowOff>
    </xdr:from>
    <xdr:to>
      <xdr:col>8</xdr:col>
      <xdr:colOff>417634</xdr:colOff>
      <xdr:row>8</xdr:row>
      <xdr:rowOff>124559</xdr:rowOff>
    </xdr:to>
    <xdr:graphicFrame macro="">
      <xdr:nvGraphicFramePr>
        <xdr:cNvPr id="11" name="Chart 10">
          <a:hlinkClick xmlns:r="http://schemas.openxmlformats.org/officeDocument/2006/relationships" r:id="rId12"/>
          <a:extLst>
            <a:ext uri="{FF2B5EF4-FFF2-40B4-BE49-F238E27FC236}">
              <a16:creationId xmlns:a16="http://schemas.microsoft.com/office/drawing/2014/main" id="{9E458469-FC96-4291-8119-1E5873870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7326</xdr:colOff>
      <xdr:row>13</xdr:row>
      <xdr:rowOff>175848</xdr:rowOff>
    </xdr:from>
    <xdr:to>
      <xdr:col>8</xdr:col>
      <xdr:colOff>337038</xdr:colOff>
      <xdr:row>20</xdr:row>
      <xdr:rowOff>65942</xdr:rowOff>
    </xdr:to>
    <xdr:graphicFrame macro="">
      <xdr:nvGraphicFramePr>
        <xdr:cNvPr id="35" name="Chart 34">
          <a:extLst>
            <a:ext uri="{FF2B5EF4-FFF2-40B4-BE49-F238E27FC236}">
              <a16:creationId xmlns:a16="http://schemas.microsoft.com/office/drawing/2014/main" id="{5DBC6777-BA83-4C51-8CD8-098C5DA32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3</xdr:col>
      <xdr:colOff>373672</xdr:colOff>
      <xdr:row>20</xdr:row>
      <xdr:rowOff>51289</xdr:rowOff>
    </xdr:from>
    <xdr:to>
      <xdr:col>6</xdr:col>
      <xdr:colOff>329711</xdr:colOff>
      <xdr:row>21</xdr:row>
      <xdr:rowOff>74737</xdr:rowOff>
    </xdr:to>
    <xdr:sp macro="" textlink="">
      <xdr:nvSpPr>
        <xdr:cNvPr id="37" name="TextBox 36">
          <a:extLst>
            <a:ext uri="{FF2B5EF4-FFF2-40B4-BE49-F238E27FC236}">
              <a16:creationId xmlns:a16="http://schemas.microsoft.com/office/drawing/2014/main" id="{5A249F49-E561-4357-9D8C-888C5CCB7E6D}"/>
            </a:ext>
          </a:extLst>
        </xdr:cNvPr>
        <xdr:cNvSpPr txBox="1"/>
      </xdr:nvSpPr>
      <xdr:spPr>
        <a:xfrm>
          <a:off x="2198076" y="3861289"/>
          <a:ext cx="1780443" cy="213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No. of</a:t>
          </a:r>
          <a:r>
            <a:rPr lang="en-IN" sz="1200" baseline="0"/>
            <a:t> Patient by Age Group</a:t>
          </a:r>
        </a:p>
        <a:p>
          <a:pPr algn="ctr"/>
          <a:endParaRPr lang="en-IN" sz="1200"/>
        </a:p>
      </xdr:txBody>
    </xdr:sp>
    <xdr:clientData/>
  </xdr:twoCellAnchor>
  <xdr:twoCellAnchor>
    <xdr:from>
      <xdr:col>8</xdr:col>
      <xdr:colOff>512884</xdr:colOff>
      <xdr:row>0</xdr:row>
      <xdr:rowOff>102577</xdr:rowOff>
    </xdr:from>
    <xdr:to>
      <xdr:col>12</xdr:col>
      <xdr:colOff>36635</xdr:colOff>
      <xdr:row>9</xdr:row>
      <xdr:rowOff>58615</xdr:rowOff>
    </xdr:to>
    <xdr:graphicFrame macro="">
      <xdr:nvGraphicFramePr>
        <xdr:cNvPr id="38" name="Chart 37">
          <a:extLst>
            <a:ext uri="{FF2B5EF4-FFF2-40B4-BE49-F238E27FC236}">
              <a16:creationId xmlns:a16="http://schemas.microsoft.com/office/drawing/2014/main" id="{D47A85B9-85BF-4698-9E3F-2EAD8ECDF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9</xdr:col>
      <xdr:colOff>139210</xdr:colOff>
      <xdr:row>8</xdr:row>
      <xdr:rowOff>73269</xdr:rowOff>
    </xdr:from>
    <xdr:to>
      <xdr:col>11</xdr:col>
      <xdr:colOff>373672</xdr:colOff>
      <xdr:row>9</xdr:row>
      <xdr:rowOff>96717</xdr:rowOff>
    </xdr:to>
    <xdr:sp macro="" textlink="">
      <xdr:nvSpPr>
        <xdr:cNvPr id="40" name="TextBox 39">
          <a:extLst>
            <a:ext uri="{FF2B5EF4-FFF2-40B4-BE49-F238E27FC236}">
              <a16:creationId xmlns:a16="http://schemas.microsoft.com/office/drawing/2014/main" id="{5EDE0E0B-8193-4CEC-8751-6DD5B4EE6B38}"/>
            </a:ext>
          </a:extLst>
        </xdr:cNvPr>
        <xdr:cNvSpPr txBox="1"/>
      </xdr:nvSpPr>
      <xdr:spPr>
        <a:xfrm>
          <a:off x="5612422" y="1597269"/>
          <a:ext cx="1450731" cy="213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Patients</a:t>
          </a:r>
          <a:r>
            <a:rPr lang="en-IN" sz="900" baseline="0"/>
            <a:t> attended within Time</a:t>
          </a:r>
          <a:endParaRPr lang="en-IN" sz="900"/>
        </a:p>
      </xdr:txBody>
    </xdr:sp>
    <xdr:clientData/>
  </xdr:twoCellAnchor>
  <xdr:twoCellAnchor>
    <xdr:from>
      <xdr:col>12</xdr:col>
      <xdr:colOff>153866</xdr:colOff>
      <xdr:row>0</xdr:row>
      <xdr:rowOff>95250</xdr:rowOff>
    </xdr:from>
    <xdr:to>
      <xdr:col>15</xdr:col>
      <xdr:colOff>315058</xdr:colOff>
      <xdr:row>9</xdr:row>
      <xdr:rowOff>87923</xdr:rowOff>
    </xdr:to>
    <xdr:graphicFrame macro="">
      <xdr:nvGraphicFramePr>
        <xdr:cNvPr id="41" name="Chart 40">
          <a:extLst>
            <a:ext uri="{FF2B5EF4-FFF2-40B4-BE49-F238E27FC236}">
              <a16:creationId xmlns:a16="http://schemas.microsoft.com/office/drawing/2014/main" id="{D4F81168-D6FE-4A6B-B19A-7A7AD759C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12</xdr:col>
      <xdr:colOff>446941</xdr:colOff>
      <xdr:row>8</xdr:row>
      <xdr:rowOff>80596</xdr:rowOff>
    </xdr:from>
    <xdr:to>
      <xdr:col>15</xdr:col>
      <xdr:colOff>73268</xdr:colOff>
      <xdr:row>9</xdr:row>
      <xdr:rowOff>104044</xdr:rowOff>
    </xdr:to>
    <xdr:sp macro="" textlink="">
      <xdr:nvSpPr>
        <xdr:cNvPr id="49" name="TextBox 48">
          <a:extLst>
            <a:ext uri="{FF2B5EF4-FFF2-40B4-BE49-F238E27FC236}">
              <a16:creationId xmlns:a16="http://schemas.microsoft.com/office/drawing/2014/main" id="{AB9DFC95-21FC-492F-B0ED-5760E83A66D6}"/>
            </a:ext>
          </a:extLst>
        </xdr:cNvPr>
        <xdr:cNvSpPr txBox="1"/>
      </xdr:nvSpPr>
      <xdr:spPr>
        <a:xfrm>
          <a:off x="7744556" y="1604596"/>
          <a:ext cx="1450731" cy="213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Gender wise Analysis</a:t>
          </a:r>
        </a:p>
      </xdr:txBody>
    </xdr:sp>
    <xdr:clientData/>
  </xdr:twoCellAnchor>
  <xdr:twoCellAnchor>
    <xdr:from>
      <xdr:col>8</xdr:col>
      <xdr:colOff>476251</xdr:colOff>
      <xdr:row>10</xdr:row>
      <xdr:rowOff>21981</xdr:rowOff>
    </xdr:from>
    <xdr:to>
      <xdr:col>15</xdr:col>
      <xdr:colOff>322385</xdr:colOff>
      <xdr:row>20</xdr:row>
      <xdr:rowOff>139213</xdr:rowOff>
    </xdr:to>
    <xdr:graphicFrame macro="">
      <xdr:nvGraphicFramePr>
        <xdr:cNvPr id="50" name="Chart 49">
          <a:extLst>
            <a:ext uri="{FF2B5EF4-FFF2-40B4-BE49-F238E27FC236}">
              <a16:creationId xmlns:a16="http://schemas.microsoft.com/office/drawing/2014/main" id="{6B784D2F-B6B4-4808-93F4-7FA6E9F1C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278424</xdr:colOff>
      <xdr:row>20</xdr:row>
      <xdr:rowOff>43961</xdr:rowOff>
    </xdr:from>
    <xdr:to>
      <xdr:col>13</xdr:col>
      <xdr:colOff>424961</xdr:colOff>
      <xdr:row>21</xdr:row>
      <xdr:rowOff>67409</xdr:rowOff>
    </xdr:to>
    <xdr:sp macro="" textlink="">
      <xdr:nvSpPr>
        <xdr:cNvPr id="51" name="TextBox 50">
          <a:extLst>
            <a:ext uri="{FF2B5EF4-FFF2-40B4-BE49-F238E27FC236}">
              <a16:creationId xmlns:a16="http://schemas.microsoft.com/office/drawing/2014/main" id="{B6CA9CC2-10D5-41E7-80D1-DD6005F63EF9}"/>
            </a:ext>
          </a:extLst>
        </xdr:cNvPr>
        <xdr:cNvSpPr txBox="1"/>
      </xdr:nvSpPr>
      <xdr:spPr>
        <a:xfrm>
          <a:off x="6359770" y="3853961"/>
          <a:ext cx="1970941" cy="213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No. of Patient</a:t>
          </a:r>
          <a:r>
            <a:rPr lang="en-IN" sz="900" baseline="0"/>
            <a:t> by Department Referral</a:t>
          </a:r>
          <a:endParaRPr lang="en-IN" sz="900"/>
        </a:p>
      </xdr:txBody>
    </xdr:sp>
    <xdr:clientData/>
  </xdr:twoCellAnchor>
  <xdr:twoCellAnchor editAs="oneCell">
    <xdr:from>
      <xdr:col>6</xdr:col>
      <xdr:colOff>344365</xdr:colOff>
      <xdr:row>0</xdr:row>
      <xdr:rowOff>175847</xdr:rowOff>
    </xdr:from>
    <xdr:to>
      <xdr:col>8</xdr:col>
      <xdr:colOff>388328</xdr:colOff>
      <xdr:row>3</xdr:row>
      <xdr:rowOff>29308</xdr:rowOff>
    </xdr:to>
    <mc:AlternateContent xmlns:mc="http://schemas.openxmlformats.org/markup-compatibility/2006">
      <mc:Choice xmlns:a14="http://schemas.microsoft.com/office/drawing/2010/main" Requires="a14">
        <xdr:graphicFrame macro="">
          <xdr:nvGraphicFramePr>
            <xdr:cNvPr id="52" name="Date (Year)">
              <a:extLst>
                <a:ext uri="{FF2B5EF4-FFF2-40B4-BE49-F238E27FC236}">
                  <a16:creationId xmlns:a16="http://schemas.microsoft.com/office/drawing/2014/main" id="{A56230EF-9CEE-44F8-9361-5E5AEF011EC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987678" y="175847"/>
              <a:ext cx="1258400" cy="424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559595</xdr:colOff>
          <xdr:row>9</xdr:row>
          <xdr:rowOff>79118</xdr:rowOff>
        </xdr:from>
        <xdr:to>
          <xdr:col>8</xdr:col>
          <xdr:colOff>386954</xdr:colOff>
          <xdr:row>13</xdr:row>
          <xdr:rowOff>41004</xdr:rowOff>
        </xdr:to>
        <xdr:pic>
          <xdr:nvPicPr>
            <xdr:cNvPr id="60" name="Picture 59">
              <a:extLst>
                <a:ext uri="{FF2B5EF4-FFF2-40B4-BE49-F238E27FC236}">
                  <a16:creationId xmlns:a16="http://schemas.microsoft.com/office/drawing/2014/main" id="{E4AA245B-7A60-B84B-F77F-2C07621DE394}"/>
                </a:ext>
              </a:extLst>
            </xdr:cNvPr>
            <xdr:cNvPicPr>
              <a:picLocks noChangeAspect="1" noChangeArrowheads="1"/>
              <a:extLst>
                <a:ext uri="{84589F7E-364E-4C9E-8A38-B11213B215E9}">
                  <a14:cameraTool cellRange="'Pivot Report'!$A$50:$D$52" spid="_x0000_s1065"/>
                </a:ext>
              </a:extLst>
            </xdr:cNvPicPr>
          </xdr:nvPicPr>
          <xdr:blipFill>
            <a:blip xmlns:r="http://schemas.openxmlformats.org/officeDocument/2006/relationships" r:embed="rId18"/>
            <a:srcRect/>
            <a:stretch>
              <a:fillRect/>
            </a:stretch>
          </xdr:blipFill>
          <xdr:spPr bwMode="auto">
            <a:xfrm>
              <a:off x="1166814" y="1793618"/>
              <a:ext cx="4077890" cy="72388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2</xdr:col>
      <xdr:colOff>0</xdr:colOff>
      <xdr:row>1</xdr:row>
      <xdr:rowOff>180976</xdr:rowOff>
    </xdr:from>
    <xdr:to>
      <xdr:col>20</xdr:col>
      <xdr:colOff>19049</xdr:colOff>
      <xdr:row>21</xdr:row>
      <xdr:rowOff>0</xdr:rowOff>
    </xdr:to>
    <xdr:graphicFrame macro="">
      <xdr:nvGraphicFramePr>
        <xdr:cNvPr id="2" name="Chart 1">
          <a:extLst>
            <a:ext uri="{FF2B5EF4-FFF2-40B4-BE49-F238E27FC236}">
              <a16:creationId xmlns:a16="http://schemas.microsoft.com/office/drawing/2014/main" id="{B62A4F40-F1DC-471D-9459-71E6B0F4F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66675</xdr:colOff>
      <xdr:row>2</xdr:row>
      <xdr:rowOff>57150</xdr:rowOff>
    </xdr:from>
    <xdr:to>
      <xdr:col>2</xdr:col>
      <xdr:colOff>581025</xdr:colOff>
      <xdr:row>5</xdr:row>
      <xdr:rowOff>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DEEE9A94-3A89-4D31-9C4A-7EEF6F1C33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85875" y="438150"/>
          <a:ext cx="514350" cy="5143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xdr:row>
      <xdr:rowOff>9524</xdr:rowOff>
    </xdr:from>
    <xdr:to>
      <xdr:col>20</xdr:col>
      <xdr:colOff>9525</xdr:colOff>
      <xdr:row>24</xdr:row>
      <xdr:rowOff>0</xdr:rowOff>
    </xdr:to>
    <xdr:graphicFrame macro="">
      <xdr:nvGraphicFramePr>
        <xdr:cNvPr id="2" name="Chart 1">
          <a:extLst>
            <a:ext uri="{FF2B5EF4-FFF2-40B4-BE49-F238E27FC236}">
              <a16:creationId xmlns:a16="http://schemas.microsoft.com/office/drawing/2014/main" id="{8DF648E3-D57F-4622-82F2-5B2C4C198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133350</xdr:colOff>
      <xdr:row>1</xdr:row>
      <xdr:rowOff>171450</xdr:rowOff>
    </xdr:from>
    <xdr:to>
      <xdr:col>2</xdr:col>
      <xdr:colOff>38100</xdr:colOff>
      <xdr:row>4</xdr:row>
      <xdr:rowOff>114300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F050CC21-1B76-C2A3-0A01-92DB67009AC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2950" y="361950"/>
          <a:ext cx="514350" cy="5143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xdr:colOff>
      <xdr:row>3</xdr:row>
      <xdr:rowOff>104775</xdr:rowOff>
    </xdr:from>
    <xdr:to>
      <xdr:col>19</xdr:col>
      <xdr:colOff>9524</xdr:colOff>
      <xdr:row>20</xdr:row>
      <xdr:rowOff>180975</xdr:rowOff>
    </xdr:to>
    <xdr:graphicFrame macro="">
      <xdr:nvGraphicFramePr>
        <xdr:cNvPr id="4" name="Chart 3">
          <a:extLst>
            <a:ext uri="{FF2B5EF4-FFF2-40B4-BE49-F238E27FC236}">
              <a16:creationId xmlns:a16="http://schemas.microsoft.com/office/drawing/2014/main" id="{0380C956-351D-4870-9F01-7A720970D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542925</xdr:colOff>
      <xdr:row>4</xdr:row>
      <xdr:rowOff>0</xdr:rowOff>
    </xdr:from>
    <xdr:to>
      <xdr:col>4</xdr:col>
      <xdr:colOff>447675</xdr:colOff>
      <xdr:row>6</xdr:row>
      <xdr:rowOff>133350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D340DD76-1202-4A6A-B58E-FEF731E42A2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71725" y="762000"/>
          <a:ext cx="514350" cy="5143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N_VICTUS" refreshedDate="46067.022460300926" createdVersion="5" refreshedVersion="8" minRefreshableVersion="3" recordCount="0" supportSubquery="1" supportAdvancedDrill="1" xr:uid="{E70C92DB-1E4B-4FCE-A00C-34F1F4FB0815}">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N_VICTUS" refreshedDate="46067.022460532404" createdVersion="5" refreshedVersion="8" minRefreshableVersion="3" recordCount="0" supportSubquery="1" supportAdvancedDrill="1" xr:uid="{FA767A5A-0364-44D2-AF38-C45CBD9701D8}">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N_VICTUS" refreshedDate="46067.02246064815" createdVersion="5" refreshedVersion="8" minRefreshableVersion="3" recordCount="0" supportSubquery="1" supportAdvancedDrill="1" xr:uid="{600D68A4-A0F2-479A-9074-EB5BBD9F4996}">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N_VICTUS" refreshedDate="46067.022460879627" createdVersion="5" refreshedVersion="8" minRefreshableVersion="3" recordCount="0" supportSubquery="1" supportAdvancedDrill="1" xr:uid="{D9786DED-F893-4AE7-AB0F-C4456BF2EC93}">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N_VICTUS" refreshedDate="46067.022461458335" createdVersion="5" refreshedVersion="8" minRefreshableVersion="3" recordCount="0" supportSubquery="1" supportAdvancedDrill="1" xr:uid="{659C45C5-72DB-40E6-B8B0-22F4C7DB1730}">
  <cacheSource type="external" connectionId="3"/>
  <cacheFields count="4">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N_VICTUS" refreshedDate="46067.022461921297" createdVersion="5" refreshedVersion="8" minRefreshableVersion="3" recordCount="0" supportSubquery="1" supportAdvancedDrill="1" xr:uid="{29CB4A8B-3AA5-4DB8-B379-913C5CD846D9}">
  <cacheSource type="external" connectionId="3"/>
  <cacheFields count="4">
    <cacheField name="[Calenda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N_VICTUS" refreshedDate="46067.022462384259" createdVersion="5" refreshedVersion="8" minRefreshableVersion="3" recordCount="0" supportSubquery="1" supportAdvancedDrill="1" xr:uid="{650EFECA-8559-4E0E-AE4D-C756A1BBAFA8}">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N_VICTUS" refreshedDate="46067.022462962967" createdVersion="5" refreshedVersion="8" minRefreshableVersion="3" recordCount="0" supportSubquery="1" supportAdvancedDrill="1" xr:uid="{21C956F3-087B-44F4-9FC3-8A00332A05AA}">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N_VICTUS" refreshedDate="46067.022463541667" createdVersion="5" refreshedVersion="8" minRefreshableVersion="3" recordCount="0" supportSubquery="1" supportAdvancedDrill="1" xr:uid="{2346169D-9564-40D1-8540-688D3D4A6060}">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N_VICTUS" refreshedDate="46067.022464120368" createdVersion="5" refreshedVersion="8" minRefreshableVersion="3" recordCount="0" supportSubquery="1" supportAdvancedDrill="1" xr:uid="{C4E47930-3A81-41BB-8FB6-98EB921DAF0B}">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N_VICTUS" refreshedDate="46067.022464583337" createdVersion="5" refreshedVersion="8" minRefreshableVersion="3" recordCount="0" supportSubquery="1" supportAdvancedDrill="1" xr:uid="{AB350A3F-9DCB-49BD-94F8-C323D5B8991B}">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N_VICTUS" refreshedDate="46067.022465162037" createdVersion="5" refreshedVersion="8" minRefreshableVersion="3" recordCount="0" supportSubquery="1" supportAdvancedDrill="1" xr:uid="{C5F711F5-F9CA-4B66-8F40-2B680C34E500}">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N_VICTUS" refreshedDate="46067.003589930559" createdVersion="3" refreshedVersion="8" minRefreshableVersion="3" recordCount="0" supportSubquery="1" supportAdvancedDrill="1" xr:uid="{38BA0258-8133-4612-83EB-A07E66710EDF}">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500256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2BDD43-5CC3-4FC5-ACF4-E918EF75F56E}" name="PivotTable13" cacheId="1300" applyNumberFormats="0" applyBorderFormats="0" applyFontFormats="0" applyPatternFormats="0" applyAlignmentFormats="0" applyWidthHeightFormats="1" dataCaption="Values" tag="d0b9256a-a315-4e78-8b98-f0fc89fc13d5" updatedVersion="8" minRefreshableVersion="3" subtotalHiddenItems="1" itemPrintTitles="1" createdVersion="5" indent="0" outline="1" outlineData="1" multipleFieldFilters="0" chartFormat="27">
  <location ref="A93:A9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64">
      <pivotArea outline="0" collapsedLevelsAreSubtotals="1" fieldPosition="0"/>
    </format>
  </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CEE828-D079-433B-B625-F2852007B92D}" name="PivotTable12" cacheId="1297" applyNumberFormats="0" applyBorderFormats="0" applyFontFormats="0" applyPatternFormats="0" applyAlignmentFormats="0" applyWidthHeightFormats="1" dataCaption="Values" tag="d0b9256a-a315-4e78-8b98-f0fc89fc13d5" updatedVersion="8" minRefreshableVersion="3" subtotalHiddenItems="1" itemPrintTitles="1" createdVersion="5" indent="0" outline="1" outlineData="1" multipleFieldFilters="0" chartFormat="27">
  <location ref="A81:B9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formats count="2">
    <format dxfId="65">
      <pivotArea outline="0" collapsedLevelsAreSubtotals="1" fieldPosition="0"/>
    </format>
    <format dxfId="66">
      <pivotArea collapsedLevelsAreSubtotals="1" fieldPosition="0">
        <references count="1">
          <reference field="1" count="0"/>
        </references>
      </pivotArea>
    </format>
  </formats>
  <chartFormats count="1">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4AF15F-AA63-4E5C-B247-EFAC5414B5BC}" name="PivotTable11" cacheId="1294" applyNumberFormats="0" applyBorderFormats="0" applyFontFormats="0" applyPatternFormats="0" applyAlignmentFormats="0" applyWidthHeightFormats="1" dataCaption="Values" tag="d0b9256a-a315-4e78-8b98-f0fc89fc13d5" updatedVersion="8" minRefreshableVersion="3" itemPrintTitles="1" createdVersion="5" indent="0" outline="1" outlineData="1" multipleFieldFilters="0" chartFormat="24">
  <location ref="A75:B7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68">
      <pivotArea outline="0" collapsedLevelsAreSubtotals="1" fieldPosition="0"/>
    </format>
    <format dxfId="67">
      <pivotArea collapsedLevelsAreSubtotals="1" fieldPosition="0">
        <references count="1">
          <reference field="1" count="0"/>
        </references>
      </pivotArea>
    </format>
  </formats>
  <chartFormats count="3">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1" count="1" selected="0">
            <x v="0"/>
          </reference>
        </references>
      </pivotArea>
    </chartFormat>
    <chartFormat chart="2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B6B7A8-DA52-4235-8A17-145976003D4E}" name="PivotTable10" cacheId="1291" applyNumberFormats="0" applyBorderFormats="0" applyFontFormats="0" applyPatternFormats="0" applyAlignmentFormats="0" applyWidthHeightFormats="1" dataCaption="Values" tag="d0b9256a-a315-4e78-8b98-f0fc89fc13d5" updatedVersion="8" minRefreshableVersion="3" itemPrintTitles="1" createdVersion="5" indent="0" outline="1" outlineData="1" multipleFieldFilters="0" chartFormat="19">
  <location ref="A69:B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70">
      <pivotArea outline="0" collapsedLevelsAreSubtotals="1" fieldPosition="0"/>
    </format>
    <format dxfId="69">
      <pivotArea collapsedLevelsAreSubtotals="1" fieldPosition="0">
        <references count="1">
          <reference field="1" count="0"/>
        </references>
      </pivotArea>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085A24-E535-4E7B-8516-9E9A0BC3A887}" name="PivotTable9" cacheId="1288" applyNumberFormats="0" applyBorderFormats="0" applyFontFormats="0" applyPatternFormats="0" applyAlignmentFormats="0" applyWidthHeightFormats="1" dataCaption="Values" tag="d0b9256a-a315-4e78-8b98-f0fc89fc13d5" updatedVersion="8" minRefreshableVersion="3" itemPrintTitles="1" createdVersion="5" indent="0" outline="1" outlineData="1" multipleFieldFilters="0" chartFormat="14">
  <location ref="A56: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72">
      <pivotArea outline="0" collapsedLevelsAreSubtotals="1" fieldPosition="0"/>
    </format>
    <format dxfId="71">
      <pivotArea collapsedLevelsAreSubtotals="1" fieldPosition="0">
        <references count="1">
          <reference field="1" count="0"/>
        </references>
      </pivotArea>
    </format>
  </formats>
  <chartFormats count="1">
    <chartFormat chart="1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7B2BCD-3DE1-4A26-B670-6F2A5647C40C}" name="PivotTable7" cacheId="1285" applyNumberFormats="0" applyBorderFormats="0" applyFontFormats="0" applyPatternFormats="0" applyAlignmentFormats="0" applyWidthHeightFormats="1" dataCaption="Values" tag="d0b9256a-a315-4e78-8b98-f0fc89fc13d5" updatedVersion="8" minRefreshableVersion="3" itemPrintTitles="1" createdVersion="5" indent="0" outline="1" outlineData="1" multipleFieldFilters="0" chartFormat="15">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75">
      <pivotArea outline="0" collapsedLevelsAreSubtotals="1" fieldPosition="0"/>
    </format>
    <format dxfId="74">
      <pivotArea collapsedLevelsAreSubtotals="1" fieldPosition="0">
        <references count="1">
          <reference field="2" count="0"/>
        </references>
      </pivotArea>
    </format>
    <format dxfId="73">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pivotArea type="data" outline="0" fieldPosition="0">
        <references count="2">
          <reference field="4294967294" count="1" selected="0">
            <x v="0"/>
          </reference>
          <reference field="2" count="1" selected="0">
            <x v="1"/>
          </reference>
        </references>
      </pivotArea>
    </chartFormat>
    <chartFormat chart="11"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C33FF7-D6DC-499B-B2B3-CA111DDF26EC}" name="PivotTable6" cacheId="1282" applyNumberFormats="0" applyBorderFormats="0" applyFontFormats="0" applyPatternFormats="0" applyAlignmentFormats="0" applyWidthHeightFormats="1" dataCaption="Values" tag="013d3d69-fcd4-480e-a4a9-8087f043a2f2" updatedVersion="8" minRefreshableVersion="3" itemPrintTitles="1" createdVersion="5" indent="0" outline="1" outlineData="1" multipleFieldFilters="0" chartFormat="24">
  <location ref="K4:L33"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1">
    <format dxfId="76">
      <pivotArea outline="0" collapsedLevelsAreSubtotals="1" fieldPosition="0"/>
    </format>
  </formats>
  <chartFormats count="2">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6A7F00-E2AB-44F7-9962-AE67D3EBFB1C}" name="PivotTable5" cacheId="1279" applyNumberFormats="0" applyBorderFormats="0" applyFontFormats="0" applyPatternFormats="0" applyAlignmentFormats="0" applyWidthHeightFormats="1" dataCaption="Values" tag="013d3d69-fcd4-480e-a4a9-8087f043a2f2" updatedVersion="8" minRefreshableVersion="3" itemPrintTitles="1" createdVersion="5" indent="0" outline="1" outlineData="1" multipleFieldFilters="0" chartFormat="19">
  <location ref="G4:H34"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numFmtId="2"/>
  </dataFields>
  <formats count="1">
    <format dxfId="77">
      <pivotArea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791352-A536-46A3-9464-666C147D97BB}" name="PivotTable2" cacheId="1273" applyNumberFormats="0" applyBorderFormats="0" applyFontFormats="0" applyPatternFormats="0" applyAlignmentFormats="0" applyWidthHeightFormats="1" dataCaption="Values" tag="a1808a12-45ce-4eb3-b008-2f9e434e36cd"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8">
      <pivotArea outline="0" collapsedLevelsAreSubtotals="1" fieldPosition="0"/>
    </format>
  </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FD4580-77EE-45C0-A7B1-2F845F9BB225}" name="PivotTable1" cacheId="1270" applyNumberFormats="0" applyBorderFormats="0" applyFontFormats="0" applyPatternFormats="0" applyAlignmentFormats="0" applyWidthHeightFormats="1" dataCaption="Values" tag="16f48cd2-9058-4cbc-b13b-28fff08a4c2d"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2947B0F-6C9D-444D-A761-01B77AD26AD2}" name="PivotTable4" cacheId="1267" applyNumberFormats="0" applyBorderFormats="0" applyFontFormats="0" applyPatternFormats="0" applyAlignmentFormats="0" applyWidthHeightFormats="1" dataCaption="Values" tag="013d3d69-fcd4-480e-a4a9-8087f043a2f2" updatedVersion="8" minRefreshableVersion="3" itemPrintTitles="1" createdVersion="5" indent="0" outline="1" outlineData="1" multipleFieldFilters="0" chartFormat="10">
  <location ref="D4:E34"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8448D9-7278-4707-A7DF-53663CF39495}" name="PivotTable3" cacheId="1276" applyNumberFormats="0" applyBorderFormats="0" applyFontFormats="0" applyPatternFormats="0" applyAlignmentFormats="0" applyWidthHeightFormats="1" dataCaption="Values" tag="d0b9256a-a315-4e78-8b98-f0fc89fc13d5" updatedVersion="8"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9">
      <pivotArea outline="0" collapsedLevelsAreSubtotals="1" fieldPosition="0"/>
    </format>
  </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E76BE1B-E10B-4106-AD98-F787561371EB}"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9"/>
    <pivotTable tabId="1" name="PivotTable10"/>
    <pivotTable tabId="1" name="PivotTable11"/>
    <pivotTable tabId="1" name="PivotTable12"/>
    <pivotTable tabId="1" name="PivotTable13"/>
  </pivotTables>
  <data>
    <olap pivotCacheId="1150025632">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C0A95EC-8232-4295-A11F-8582949F8FB6}" sourceName="[Calenda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s>
  <data>
    <olap pivotCacheId="115002563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299EB0C6-5527-48C8-9AA7-7C60941ED546}" cache="Slicer_Date__Month" caption="Date (Month)" showCaption="0" level="1" style="My Style" rowHeight="234000"/>
  <slicer name="Date (Year)" xr10:uid="{B33B368C-04AD-4977-82D5-7FFD9A4DFC90}" cache="Slicer_Date__Year" caption="Date (Year)" columnCount="2"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E0D31-868C-4A0B-A4E6-7A15EFF7206C}">
  <dimension ref="A3:L95"/>
  <sheetViews>
    <sheetView tabSelected="1" topLeftCell="A29" workbookViewId="0">
      <selection activeCell="A50" sqref="A50:D52"/>
    </sheetView>
  </sheetViews>
  <sheetFormatPr defaultRowHeight="15" x14ac:dyDescent="0.25"/>
  <cols>
    <col min="1" max="1" width="16.140625" customWidth="1"/>
    <col min="2" max="2" width="13.140625" customWidth="1"/>
    <col min="3" max="3" width="9.28515625" customWidth="1"/>
    <col min="4" max="4" width="31.140625" customWidth="1"/>
    <col min="5" max="5" width="25.140625" bestFit="1" customWidth="1"/>
    <col min="7" max="7" width="17.42578125" bestFit="1" customWidth="1"/>
    <col min="8" max="8" width="25.140625" bestFit="1" customWidth="1"/>
    <col min="11" max="11" width="13.140625" bestFit="1" customWidth="1"/>
    <col min="12" max="12" width="34.28515625" bestFit="1" customWidth="1"/>
  </cols>
  <sheetData>
    <row r="3" spans="1:12" x14ac:dyDescent="0.25">
      <c r="A3" t="s">
        <v>1</v>
      </c>
      <c r="D3" t="s">
        <v>6</v>
      </c>
      <c r="G3" t="s">
        <v>7</v>
      </c>
      <c r="K3" t="s">
        <v>10</v>
      </c>
    </row>
    <row r="4" spans="1:12" x14ac:dyDescent="0.25">
      <c r="A4" t="s">
        <v>0</v>
      </c>
      <c r="D4" s="1" t="s">
        <v>4</v>
      </c>
      <c r="E4" t="s">
        <v>0</v>
      </c>
      <c r="G4" s="1" t="s">
        <v>4</v>
      </c>
      <c r="H4" t="s">
        <v>2</v>
      </c>
      <c r="K4" s="1" t="s">
        <v>4</v>
      </c>
      <c r="L4" t="s">
        <v>3</v>
      </c>
    </row>
    <row r="5" spans="1:12" x14ac:dyDescent="0.25">
      <c r="A5" s="5">
        <v>431</v>
      </c>
      <c r="D5" s="4" t="s">
        <v>19</v>
      </c>
      <c r="E5" s="5">
        <v>13</v>
      </c>
      <c r="G5" s="4" t="s">
        <v>19</v>
      </c>
      <c r="H5" s="2">
        <v>35.692307692307693</v>
      </c>
      <c r="K5" s="4" t="s">
        <v>19</v>
      </c>
      <c r="L5" s="2">
        <v>4.166666666666667</v>
      </c>
    </row>
    <row r="6" spans="1:12" x14ac:dyDescent="0.25">
      <c r="D6" s="4" t="s">
        <v>20</v>
      </c>
      <c r="E6" s="5">
        <v>10</v>
      </c>
      <c r="G6" s="4" t="s">
        <v>20</v>
      </c>
      <c r="H6" s="2">
        <v>45.4</v>
      </c>
      <c r="K6" s="4" t="s">
        <v>20</v>
      </c>
      <c r="L6" s="2">
        <v>5.75</v>
      </c>
    </row>
    <row r="7" spans="1:12" x14ac:dyDescent="0.25">
      <c r="D7" s="4" t="s">
        <v>21</v>
      </c>
      <c r="E7" s="5">
        <v>8</v>
      </c>
      <c r="G7" s="4" t="s">
        <v>21</v>
      </c>
      <c r="H7" s="2">
        <v>29.375</v>
      </c>
      <c r="K7" s="4" t="s">
        <v>21</v>
      </c>
      <c r="L7" s="2">
        <v>4.75</v>
      </c>
    </row>
    <row r="8" spans="1:12" x14ac:dyDescent="0.25">
      <c r="A8" t="s">
        <v>2</v>
      </c>
      <c r="D8" s="4" t="s">
        <v>22</v>
      </c>
      <c r="E8" s="5">
        <v>12</v>
      </c>
      <c r="G8" s="4" t="s">
        <v>22</v>
      </c>
      <c r="H8" s="2">
        <v>34.583333333333336</v>
      </c>
      <c r="K8" s="4" t="s">
        <v>22</v>
      </c>
      <c r="L8" s="2">
        <v>7</v>
      </c>
    </row>
    <row r="9" spans="1:12" x14ac:dyDescent="0.25">
      <c r="A9" s="2">
        <v>36.670533642691417</v>
      </c>
      <c r="D9" s="4" t="s">
        <v>23</v>
      </c>
      <c r="E9" s="5">
        <v>19</v>
      </c>
      <c r="G9" s="4" t="s">
        <v>23</v>
      </c>
      <c r="H9" s="2">
        <v>38.684210526315788</v>
      </c>
      <c r="K9" s="4" t="s">
        <v>23</v>
      </c>
      <c r="L9" s="2">
        <v>3.1428571428571428</v>
      </c>
    </row>
    <row r="10" spans="1:12" x14ac:dyDescent="0.25">
      <c r="D10" s="4" t="s">
        <v>24</v>
      </c>
      <c r="E10" s="5">
        <v>9</v>
      </c>
      <c r="G10" s="4" t="s">
        <v>24</v>
      </c>
      <c r="H10" s="2">
        <v>34.777777777777779</v>
      </c>
      <c r="K10" s="4" t="s">
        <v>24</v>
      </c>
      <c r="L10" s="2">
        <v>8</v>
      </c>
    </row>
    <row r="11" spans="1:12" x14ac:dyDescent="0.25">
      <c r="A11" t="s">
        <v>3</v>
      </c>
      <c r="D11" s="4" t="s">
        <v>25</v>
      </c>
      <c r="E11" s="5">
        <v>13</v>
      </c>
      <c r="G11" s="4" t="s">
        <v>25</v>
      </c>
      <c r="H11" s="2">
        <v>37.307692307692307</v>
      </c>
      <c r="K11" s="4" t="s">
        <v>25</v>
      </c>
      <c r="L11" s="2">
        <v>5.25</v>
      </c>
    </row>
    <row r="12" spans="1:12" x14ac:dyDescent="0.25">
      <c r="A12" s="2">
        <v>4.7154471544715451</v>
      </c>
      <c r="D12" s="4" t="s">
        <v>26</v>
      </c>
      <c r="E12" s="5">
        <v>19</v>
      </c>
      <c r="G12" s="4" t="s">
        <v>26</v>
      </c>
      <c r="H12" s="2">
        <v>35.631578947368418</v>
      </c>
      <c r="K12" s="4" t="s">
        <v>26</v>
      </c>
      <c r="L12" s="2">
        <v>4.5714285714285712</v>
      </c>
    </row>
    <row r="13" spans="1:12" x14ac:dyDescent="0.25">
      <c r="D13" s="4" t="s">
        <v>27</v>
      </c>
      <c r="E13" s="5">
        <v>10</v>
      </c>
      <c r="G13" s="4" t="s">
        <v>27</v>
      </c>
      <c r="H13" s="2">
        <v>36.6</v>
      </c>
      <c r="K13" s="4" t="s">
        <v>27</v>
      </c>
      <c r="L13" s="2">
        <v>2.75</v>
      </c>
    </row>
    <row r="14" spans="1:12" x14ac:dyDescent="0.25">
      <c r="D14" s="4" t="s">
        <v>28</v>
      </c>
      <c r="E14" s="5">
        <v>20</v>
      </c>
      <c r="G14" s="4" t="s">
        <v>28</v>
      </c>
      <c r="H14" s="2">
        <v>39.700000000000003</v>
      </c>
      <c r="K14" s="4" t="s">
        <v>28</v>
      </c>
      <c r="L14" s="2">
        <v>4.5</v>
      </c>
    </row>
    <row r="15" spans="1:12" x14ac:dyDescent="0.25">
      <c r="D15" s="4" t="s">
        <v>29</v>
      </c>
      <c r="E15" s="5">
        <v>15</v>
      </c>
      <c r="G15" s="4" t="s">
        <v>29</v>
      </c>
      <c r="H15" s="2">
        <v>37.4</v>
      </c>
      <c r="K15" s="4" t="s">
        <v>29</v>
      </c>
      <c r="L15" s="2">
        <v>5.5</v>
      </c>
    </row>
    <row r="16" spans="1:12" x14ac:dyDescent="0.25">
      <c r="D16" s="4" t="s">
        <v>30</v>
      </c>
      <c r="E16" s="5">
        <v>13</v>
      </c>
      <c r="G16" s="4" t="s">
        <v>30</v>
      </c>
      <c r="H16" s="2">
        <v>27.76923076923077</v>
      </c>
      <c r="K16" s="4" t="s">
        <v>30</v>
      </c>
      <c r="L16" s="2">
        <v>5.6</v>
      </c>
    </row>
    <row r="17" spans="4:12" x14ac:dyDescent="0.25">
      <c r="D17" s="4" t="s">
        <v>31</v>
      </c>
      <c r="E17" s="5">
        <v>9</v>
      </c>
      <c r="G17" s="4" t="s">
        <v>31</v>
      </c>
      <c r="H17" s="2">
        <v>38.777777777777779</v>
      </c>
      <c r="K17" s="4" t="s">
        <v>31</v>
      </c>
      <c r="L17" s="2">
        <v>5.75</v>
      </c>
    </row>
    <row r="18" spans="4:12" x14ac:dyDescent="0.25">
      <c r="D18" s="4" t="s">
        <v>32</v>
      </c>
      <c r="E18" s="5">
        <v>19</v>
      </c>
      <c r="G18" s="4" t="s">
        <v>32</v>
      </c>
      <c r="H18" s="2">
        <v>31</v>
      </c>
      <c r="K18" s="4" t="s">
        <v>32</v>
      </c>
      <c r="L18" s="2">
        <v>3.4444444444444446</v>
      </c>
    </row>
    <row r="19" spans="4:12" x14ac:dyDescent="0.25">
      <c r="D19" s="4" t="s">
        <v>33</v>
      </c>
      <c r="E19" s="5">
        <v>14</v>
      </c>
      <c r="G19" s="4" t="s">
        <v>33</v>
      </c>
      <c r="H19" s="2">
        <v>35.928571428571431</v>
      </c>
      <c r="K19" s="4" t="s">
        <v>33</v>
      </c>
      <c r="L19" s="2">
        <v>1.5</v>
      </c>
    </row>
    <row r="20" spans="4:12" x14ac:dyDescent="0.25">
      <c r="D20" s="4" t="s">
        <v>34</v>
      </c>
      <c r="E20" s="5">
        <v>17</v>
      </c>
      <c r="G20" s="4" t="s">
        <v>34</v>
      </c>
      <c r="H20" s="2">
        <v>37.882352941176471</v>
      </c>
      <c r="K20" s="4" t="s">
        <v>34</v>
      </c>
      <c r="L20" s="2">
        <v>3.6666666666666665</v>
      </c>
    </row>
    <row r="21" spans="4:12" x14ac:dyDescent="0.25">
      <c r="D21" s="4" t="s">
        <v>35</v>
      </c>
      <c r="E21" s="5">
        <v>17</v>
      </c>
      <c r="G21" s="4" t="s">
        <v>35</v>
      </c>
      <c r="H21" s="2">
        <v>40.588235294117645</v>
      </c>
      <c r="K21" s="4" t="s">
        <v>35</v>
      </c>
      <c r="L21" s="2">
        <v>4.4285714285714288</v>
      </c>
    </row>
    <row r="22" spans="4:12" x14ac:dyDescent="0.25">
      <c r="D22" s="4" t="s">
        <v>36</v>
      </c>
      <c r="E22" s="5">
        <v>15</v>
      </c>
      <c r="G22" s="4" t="s">
        <v>36</v>
      </c>
      <c r="H22" s="2">
        <v>34.533333333333331</v>
      </c>
      <c r="K22" s="4" t="s">
        <v>36</v>
      </c>
      <c r="L22" s="2">
        <v>6</v>
      </c>
    </row>
    <row r="23" spans="4:12" x14ac:dyDescent="0.25">
      <c r="D23" s="4" t="s">
        <v>37</v>
      </c>
      <c r="E23" s="5">
        <v>9</v>
      </c>
      <c r="G23" s="4" t="s">
        <v>37</v>
      </c>
      <c r="H23" s="2">
        <v>40.333333333333336</v>
      </c>
      <c r="K23" s="4" t="s">
        <v>37</v>
      </c>
      <c r="L23" s="2">
        <v>2.6666666666666665</v>
      </c>
    </row>
    <row r="24" spans="4:12" x14ac:dyDescent="0.25">
      <c r="D24" s="4" t="s">
        <v>38</v>
      </c>
      <c r="E24" s="5">
        <v>14</v>
      </c>
      <c r="G24" s="4" t="s">
        <v>38</v>
      </c>
      <c r="H24" s="2">
        <v>35.285714285714285</v>
      </c>
      <c r="K24" s="4" t="s">
        <v>38</v>
      </c>
      <c r="L24" s="2">
        <v>7.5</v>
      </c>
    </row>
    <row r="25" spans="4:12" x14ac:dyDescent="0.25">
      <c r="D25" s="4" t="s">
        <v>39</v>
      </c>
      <c r="E25" s="5">
        <v>22</v>
      </c>
      <c r="G25" s="4" t="s">
        <v>39</v>
      </c>
      <c r="H25" s="2">
        <v>35.5</v>
      </c>
      <c r="K25" s="4" t="s">
        <v>39</v>
      </c>
      <c r="L25" s="2">
        <v>4.5</v>
      </c>
    </row>
    <row r="26" spans="4:12" x14ac:dyDescent="0.25">
      <c r="D26" s="4" t="s">
        <v>40</v>
      </c>
      <c r="E26" s="5">
        <v>16</v>
      </c>
      <c r="G26" s="4" t="s">
        <v>40</v>
      </c>
      <c r="H26" s="2">
        <v>38.5625</v>
      </c>
      <c r="K26" s="4" t="s">
        <v>40</v>
      </c>
      <c r="L26" s="2">
        <v>8</v>
      </c>
    </row>
    <row r="27" spans="4:12" x14ac:dyDescent="0.25">
      <c r="D27" s="4" t="s">
        <v>41</v>
      </c>
      <c r="E27" s="5">
        <v>22</v>
      </c>
      <c r="G27" s="4" t="s">
        <v>41</v>
      </c>
      <c r="H27" s="2">
        <v>42.727272727272727</v>
      </c>
      <c r="K27" s="4" t="s">
        <v>41</v>
      </c>
      <c r="L27" s="2">
        <v>4.3636363636363633</v>
      </c>
    </row>
    <row r="28" spans="4:12" x14ac:dyDescent="0.25">
      <c r="D28" s="4" t="s">
        <v>42</v>
      </c>
      <c r="E28" s="5">
        <v>12</v>
      </c>
      <c r="G28" s="4" t="s">
        <v>42</v>
      </c>
      <c r="H28" s="2">
        <v>37.416666666666664</v>
      </c>
      <c r="K28" s="4" t="s">
        <v>42</v>
      </c>
      <c r="L28" s="2">
        <v>0</v>
      </c>
    </row>
    <row r="29" spans="4:12" x14ac:dyDescent="0.25">
      <c r="D29" s="4" t="s">
        <v>43</v>
      </c>
      <c r="E29" s="5">
        <v>20</v>
      </c>
      <c r="G29" s="4" t="s">
        <v>43</v>
      </c>
      <c r="H29" s="2">
        <v>32.450000000000003</v>
      </c>
      <c r="K29" s="4" t="s">
        <v>43</v>
      </c>
      <c r="L29" s="2">
        <v>10</v>
      </c>
    </row>
    <row r="30" spans="4:12" x14ac:dyDescent="0.25">
      <c r="D30" s="4" t="s">
        <v>44</v>
      </c>
      <c r="E30" s="5">
        <v>18</v>
      </c>
      <c r="G30" s="4" t="s">
        <v>44</v>
      </c>
      <c r="H30" s="2">
        <v>40.055555555555557</v>
      </c>
      <c r="K30" s="4" t="s">
        <v>45</v>
      </c>
      <c r="L30" s="2">
        <v>6.75</v>
      </c>
    </row>
    <row r="31" spans="4:12" x14ac:dyDescent="0.25">
      <c r="D31" s="4" t="s">
        <v>45</v>
      </c>
      <c r="E31" s="5">
        <v>18</v>
      </c>
      <c r="G31" s="4" t="s">
        <v>45</v>
      </c>
      <c r="H31" s="2">
        <v>31.666666666666668</v>
      </c>
      <c r="K31" s="4" t="s">
        <v>46</v>
      </c>
      <c r="L31" s="2">
        <v>7</v>
      </c>
    </row>
    <row r="32" spans="4:12" x14ac:dyDescent="0.25">
      <c r="D32" s="4" t="s">
        <v>46</v>
      </c>
      <c r="E32" s="5">
        <v>13</v>
      </c>
      <c r="G32" s="4" t="s">
        <v>46</v>
      </c>
      <c r="H32" s="2">
        <v>39.769230769230766</v>
      </c>
      <c r="K32" s="4" t="s">
        <v>47</v>
      </c>
      <c r="L32" s="2">
        <v>3.3333333333333335</v>
      </c>
    </row>
    <row r="33" spans="1:12" x14ac:dyDescent="0.25">
      <c r="D33" s="4" t="s">
        <v>47</v>
      </c>
      <c r="E33" s="5">
        <v>15</v>
      </c>
      <c r="G33" s="4" t="s">
        <v>47</v>
      </c>
      <c r="H33" s="2">
        <v>36.733333333333334</v>
      </c>
      <c r="K33" s="4" t="s">
        <v>5</v>
      </c>
      <c r="L33" s="2">
        <v>4.7154471544715451</v>
      </c>
    </row>
    <row r="34" spans="1:12" x14ac:dyDescent="0.25">
      <c r="D34" s="4" t="s">
        <v>5</v>
      </c>
      <c r="E34" s="5">
        <v>431</v>
      </c>
      <c r="G34" s="4" t="s">
        <v>5</v>
      </c>
      <c r="H34" s="2">
        <v>36.670533642691417</v>
      </c>
    </row>
    <row r="41" spans="1:12" x14ac:dyDescent="0.25">
      <c r="A41" s="1" t="s">
        <v>4</v>
      </c>
      <c r="B41" t="s">
        <v>12</v>
      </c>
      <c r="C41" t="s">
        <v>15</v>
      </c>
    </row>
    <row r="42" spans="1:12" x14ac:dyDescent="0.25">
      <c r="A42" s="4" t="s">
        <v>13</v>
      </c>
      <c r="B42" s="6">
        <v>224</v>
      </c>
      <c r="C42" s="7">
        <v>0.51972157772621808</v>
      </c>
    </row>
    <row r="43" spans="1:12" x14ac:dyDescent="0.25">
      <c r="A43" s="4" t="s">
        <v>14</v>
      </c>
      <c r="B43" s="6">
        <v>207</v>
      </c>
      <c r="C43" s="7">
        <v>0.48027842227378192</v>
      </c>
    </row>
    <row r="44" spans="1:12" x14ac:dyDescent="0.25">
      <c r="A44" s="4" t="s">
        <v>5</v>
      </c>
      <c r="B44" s="2">
        <v>431</v>
      </c>
      <c r="C44" s="7">
        <v>1</v>
      </c>
    </row>
    <row r="50" spans="1:4" x14ac:dyDescent="0.25">
      <c r="A50" s="8" t="s">
        <v>16</v>
      </c>
      <c r="B50" s="8" t="s">
        <v>17</v>
      </c>
      <c r="C50" s="8" t="s">
        <v>18</v>
      </c>
      <c r="D50" s="8"/>
    </row>
    <row r="51" spans="1:4" x14ac:dyDescent="0.25">
      <c r="A51" s="9" t="str">
        <f>A43</f>
        <v>Not Admitted</v>
      </c>
      <c r="B51" s="9">
        <f>B43</f>
        <v>207</v>
      </c>
      <c r="C51" s="10">
        <f>C43</f>
        <v>0.48027842227378192</v>
      </c>
      <c r="D51" s="9"/>
    </row>
    <row r="52" spans="1:4" x14ac:dyDescent="0.25">
      <c r="A52" s="9" t="str">
        <f>A42</f>
        <v>Admitted</v>
      </c>
      <c r="B52" s="9">
        <f>B42</f>
        <v>224</v>
      </c>
      <c r="C52" s="10">
        <f>C42</f>
        <v>0.51972157772621808</v>
      </c>
      <c r="D52" s="9"/>
    </row>
    <row r="55" spans="1:4" x14ac:dyDescent="0.25">
      <c r="A55" t="s">
        <v>57</v>
      </c>
    </row>
    <row r="56" spans="1:4" x14ac:dyDescent="0.25">
      <c r="A56" s="1" t="s">
        <v>4</v>
      </c>
      <c r="B56" t="s">
        <v>56</v>
      </c>
    </row>
    <row r="57" spans="1:4" x14ac:dyDescent="0.25">
      <c r="A57" s="4" t="s">
        <v>48</v>
      </c>
      <c r="B57" s="6">
        <v>42</v>
      </c>
    </row>
    <row r="58" spans="1:4" x14ac:dyDescent="0.25">
      <c r="A58" s="4" t="s">
        <v>49</v>
      </c>
      <c r="B58" s="6">
        <v>46</v>
      </c>
    </row>
    <row r="59" spans="1:4" x14ac:dyDescent="0.25">
      <c r="A59" s="4" t="s">
        <v>50</v>
      </c>
      <c r="B59" s="6">
        <v>54</v>
      </c>
    </row>
    <row r="60" spans="1:4" x14ac:dyDescent="0.25">
      <c r="A60" s="4" t="s">
        <v>51</v>
      </c>
      <c r="B60" s="6">
        <v>68</v>
      </c>
    </row>
    <row r="61" spans="1:4" x14ac:dyDescent="0.25">
      <c r="A61" s="4" t="s">
        <v>52</v>
      </c>
      <c r="B61" s="6">
        <v>62</v>
      </c>
    </row>
    <row r="62" spans="1:4" x14ac:dyDescent="0.25">
      <c r="A62" s="4" t="s">
        <v>53</v>
      </c>
      <c r="B62" s="6">
        <v>52</v>
      </c>
    </row>
    <row r="63" spans="1:4" x14ac:dyDescent="0.25">
      <c r="A63" s="4" t="s">
        <v>54</v>
      </c>
      <c r="B63" s="6">
        <v>54</v>
      </c>
    </row>
    <row r="64" spans="1:4" x14ac:dyDescent="0.25">
      <c r="A64" s="4" t="s">
        <v>55</v>
      </c>
      <c r="B64" s="6">
        <v>53</v>
      </c>
    </row>
    <row r="65" spans="1:2" x14ac:dyDescent="0.25">
      <c r="A65" s="4" t="s">
        <v>5</v>
      </c>
      <c r="B65" s="2">
        <v>431</v>
      </c>
    </row>
    <row r="68" spans="1:2" x14ac:dyDescent="0.25">
      <c r="A68" s="4" t="s">
        <v>60</v>
      </c>
    </row>
    <row r="69" spans="1:2" x14ac:dyDescent="0.25">
      <c r="A69" s="1" t="s">
        <v>4</v>
      </c>
      <c r="B69" t="s">
        <v>11</v>
      </c>
    </row>
    <row r="70" spans="1:2" x14ac:dyDescent="0.25">
      <c r="A70" s="4" t="s">
        <v>59</v>
      </c>
      <c r="B70" s="6">
        <v>283</v>
      </c>
    </row>
    <row r="71" spans="1:2" x14ac:dyDescent="0.25">
      <c r="A71" s="4" t="s">
        <v>58</v>
      </c>
      <c r="B71" s="6">
        <v>148</v>
      </c>
    </row>
    <row r="72" spans="1:2" x14ac:dyDescent="0.25">
      <c r="A72" s="4" t="s">
        <v>5</v>
      </c>
      <c r="B72" s="2">
        <v>431</v>
      </c>
    </row>
    <row r="74" spans="1:2" x14ac:dyDescent="0.25">
      <c r="A74" s="4" t="s">
        <v>64</v>
      </c>
    </row>
    <row r="75" spans="1:2" x14ac:dyDescent="0.25">
      <c r="A75" s="1" t="s">
        <v>4</v>
      </c>
      <c r="B75" t="s">
        <v>63</v>
      </c>
    </row>
    <row r="76" spans="1:2" x14ac:dyDescent="0.25">
      <c r="A76" s="4" t="s">
        <v>61</v>
      </c>
      <c r="B76" s="6">
        <v>194</v>
      </c>
    </row>
    <row r="77" spans="1:2" x14ac:dyDescent="0.25">
      <c r="A77" s="4" t="s">
        <v>62</v>
      </c>
      <c r="B77" s="6">
        <v>237</v>
      </c>
    </row>
    <row r="78" spans="1:2" x14ac:dyDescent="0.25">
      <c r="A78" s="4" t="s">
        <v>5</v>
      </c>
      <c r="B78" s="2">
        <v>431</v>
      </c>
    </row>
    <row r="80" spans="1:2" x14ac:dyDescent="0.25">
      <c r="A80" s="11" t="s">
        <v>74</v>
      </c>
    </row>
    <row r="81" spans="1:2" x14ac:dyDescent="0.25">
      <c r="A81" s="1" t="s">
        <v>4</v>
      </c>
      <c r="B81" t="s">
        <v>73</v>
      </c>
    </row>
    <row r="82" spans="1:2" x14ac:dyDescent="0.25">
      <c r="A82" s="4" t="s">
        <v>68</v>
      </c>
      <c r="B82" s="6">
        <v>6</v>
      </c>
    </row>
    <row r="83" spans="1:2" x14ac:dyDescent="0.25">
      <c r="A83" s="4" t="s">
        <v>66</v>
      </c>
      <c r="B83" s="6">
        <v>6</v>
      </c>
    </row>
    <row r="84" spans="1:2" x14ac:dyDescent="0.25">
      <c r="A84" s="4" t="s">
        <v>72</v>
      </c>
      <c r="B84" s="6">
        <v>6</v>
      </c>
    </row>
    <row r="85" spans="1:2" x14ac:dyDescent="0.25">
      <c r="A85" s="4" t="s">
        <v>65</v>
      </c>
      <c r="B85" s="6">
        <v>12</v>
      </c>
    </row>
    <row r="86" spans="1:2" x14ac:dyDescent="0.25">
      <c r="A86" s="4" t="s">
        <v>71</v>
      </c>
      <c r="B86" s="6">
        <v>14</v>
      </c>
    </row>
    <row r="87" spans="1:2" x14ac:dyDescent="0.25">
      <c r="A87" s="4" t="s">
        <v>70</v>
      </c>
      <c r="B87" s="6">
        <v>46</v>
      </c>
    </row>
    <row r="88" spans="1:2" x14ac:dyDescent="0.25">
      <c r="A88" s="4" t="s">
        <v>67</v>
      </c>
      <c r="B88" s="6">
        <v>89</v>
      </c>
    </row>
    <row r="89" spans="1:2" x14ac:dyDescent="0.25">
      <c r="A89" s="4" t="s">
        <v>69</v>
      </c>
      <c r="B89" s="6">
        <v>252</v>
      </c>
    </row>
    <row r="90" spans="1:2" x14ac:dyDescent="0.25">
      <c r="A90" s="4" t="s">
        <v>5</v>
      </c>
      <c r="B90" s="2">
        <v>431</v>
      </c>
    </row>
    <row r="93" spans="1:2" x14ac:dyDescent="0.25">
      <c r="A93" s="1" t="s">
        <v>4</v>
      </c>
    </row>
    <row r="94" spans="1:2" x14ac:dyDescent="0.25">
      <c r="A94" s="4" t="s">
        <v>75</v>
      </c>
    </row>
    <row r="95" spans="1:2" x14ac:dyDescent="0.25">
      <c r="A95"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7BA7A-BF8B-467B-8900-D47628E62C77}">
  <dimension ref="A1"/>
  <sheetViews>
    <sheetView zoomScale="160" zoomScaleNormal="160" workbookViewId="0">
      <selection activeCell="K24" sqref="K24"/>
    </sheetView>
  </sheetViews>
  <sheetFormatPr defaultRowHeight="15" x14ac:dyDescent="0.25"/>
  <cols>
    <col min="1" max="16384" width="9.140625" style="3"/>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E0AC4-1C9B-4729-AAB5-96C84137C86B}">
  <dimension ref="D23"/>
  <sheetViews>
    <sheetView workbookViewId="0"/>
  </sheetViews>
  <sheetFormatPr defaultRowHeight="15" x14ac:dyDescent="0.25"/>
  <sheetData>
    <row r="23" spans="4:4" x14ac:dyDescent="0.25">
      <c r="D23" t="s">
        <v>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9E5CD-CCF2-4B59-B678-0FAEFA502293}">
  <dimension ref="A1"/>
  <sheetViews>
    <sheetView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7D7AD-0B12-4A15-93BB-F3FC929EBCDB}">
  <dimension ref="D23"/>
  <sheetViews>
    <sheetView workbookViewId="0">
      <selection activeCell="K28" sqref="K28"/>
    </sheetView>
  </sheetViews>
  <sheetFormatPr defaultRowHeight="15" x14ac:dyDescent="0.25"/>
  <sheetData>
    <row r="23" spans="4:4" x14ac:dyDescent="0.25">
      <c r="D23" t="s">
        <v>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B80FC4DF-8FB4-4D75-821B-9A3F505E9D98}">
  <ds:schemaRefs/>
</ds:datastoreItem>
</file>

<file path=customXml/itemProps2.xml><?xml version="1.0" encoding="utf-8"?>
<ds:datastoreItem xmlns:ds="http://schemas.openxmlformats.org/officeDocument/2006/customXml" ds:itemID="{10378220-5CD9-4EE2-B408-3204FD2CB836}">
  <ds:schemaRefs/>
</ds:datastoreItem>
</file>

<file path=customXml/itemProps3.xml><?xml version="1.0" encoding="utf-8"?>
<ds:datastoreItem xmlns:ds="http://schemas.openxmlformats.org/officeDocument/2006/customXml" ds:itemID="{20B0F785-2A9D-434A-A96D-5F4AFC1E83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Avgerage wait time daily trend</vt:lpstr>
      <vt:lpstr>Daily ER No. of Patients</vt:lpstr>
      <vt:lpstr>Satifaction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Ravin M</dc:creator>
  <cp:lastModifiedBy>Ravin M</cp:lastModifiedBy>
  <dcterms:created xsi:type="dcterms:W3CDTF">2026-02-11T12:34:49Z</dcterms:created>
  <dcterms:modified xsi:type="dcterms:W3CDTF">2026-02-13T19:06:43Z</dcterms:modified>
</cp:coreProperties>
</file>